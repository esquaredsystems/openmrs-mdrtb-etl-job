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ais\workspace\openmrs-tajikistan\openmrs-mdrtb-etl-job\resources\"/>
    </mc:Choice>
  </mc:AlternateContent>
  <xr:revisionPtr revIDLastSave="0" documentId="13_ncr:1_{0A70076A-3942-4F27-9749-647B2DAC8DD2}" xr6:coauthVersionLast="47" xr6:coauthVersionMax="47" xr10:uidLastSave="{00000000-0000-0000-0000-000000000000}"/>
  <bookViews>
    <workbookView xWindow="-120" yWindow="-120" windowWidth="29040" windowHeight="15720" tabRatio="640" xr2:uid="{18076D00-A540-4435-B04D-A40348706011}"/>
  </bookViews>
  <sheets>
    <sheet name="test_types" sheetId="1" r:id="rId1"/>
    <sheet name="attribute_types" sheetId="7" r:id="rId2"/>
  </sheets>
  <definedNames>
    <definedName name="_xlnm._FilterDatabase" localSheetId="1" hidden="1">attribute_types!$A$1:$Q$205</definedName>
    <definedName name="_xlnm._FilterDatabase" localSheetId="0" hidden="1">test_types!$A$1:$H$9</definedName>
    <definedName name="ExternalData_1" localSheetId="0" hidden="1">test_types!#REF!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0" i="7" l="1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9" i="7"/>
  <c r="I18" i="7"/>
  <c r="I17" i="7"/>
  <c r="I16" i="7"/>
  <c r="I15" i="7"/>
  <c r="I14" i="7"/>
  <c r="I13" i="7"/>
  <c r="I76" i="7"/>
  <c r="I77" i="7"/>
  <c r="I78" i="7"/>
  <c r="I79" i="7"/>
  <c r="I81" i="7"/>
  <c r="I8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75" i="7"/>
  <c r="I71" i="7"/>
  <c r="I74" i="7"/>
  <c r="I53" i="7"/>
  <c r="I67" i="7"/>
  <c r="I66" i="7"/>
  <c r="I65" i="7"/>
  <c r="I64" i="7"/>
  <c r="I63" i="7"/>
  <c r="I62" i="7"/>
  <c r="I61" i="7"/>
  <c r="I60" i="7"/>
  <c r="I58" i="7"/>
  <c r="I57" i="7"/>
  <c r="I70" i="7"/>
  <c r="I69" i="7"/>
  <c r="I59" i="7"/>
  <c r="I68" i="7"/>
  <c r="I44" i="7"/>
  <c r="I45" i="7"/>
  <c r="I46" i="7"/>
  <c r="I47" i="7"/>
  <c r="I48" i="7"/>
  <c r="I49" i="7"/>
  <c r="I50" i="7"/>
  <c r="I51" i="7"/>
  <c r="I52" i="7"/>
  <c r="I54" i="7"/>
  <c r="I55" i="7"/>
  <c r="I56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27" i="7"/>
  <c r="I28" i="7"/>
  <c r="I29" i="7"/>
  <c r="I30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22" i="7"/>
  <c r="I121" i="7"/>
  <c r="I120" i="7"/>
  <c r="I129" i="7"/>
  <c r="I128" i="7"/>
  <c r="I127" i="7"/>
  <c r="I126" i="7"/>
  <c r="I125" i="7"/>
  <c r="I124" i="7"/>
  <c r="I123" i="7"/>
  <c r="I119" i="7"/>
  <c r="I118" i="7"/>
  <c r="I117" i="7"/>
  <c r="I116" i="7"/>
  <c r="I115" i="7"/>
  <c r="I114" i="7"/>
  <c r="I113" i="7"/>
  <c r="I112" i="7"/>
  <c r="I111" i="7"/>
  <c r="I110" i="7"/>
  <c r="I11" i="7"/>
  <c r="I3" i="7"/>
  <c r="I4" i="7"/>
  <c r="I5" i="7"/>
  <c r="I6" i="7"/>
  <c r="I7" i="7"/>
  <c r="I8" i="7"/>
  <c r="I9" i="7"/>
  <c r="I10" i="7"/>
  <c r="I12" i="7"/>
  <c r="I20" i="7"/>
  <c r="I21" i="7"/>
  <c r="I22" i="7"/>
  <c r="I23" i="7"/>
  <c r="I24" i="7"/>
  <c r="I25" i="7"/>
  <c r="I26" i="7"/>
  <c r="I72" i="7"/>
  <c r="I73" i="7"/>
  <c r="I2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CF32B-ABE7-4E07-8562-6B06F577F01C}" keepAlive="1" name="Query - _Create_table__lab_data_a_denormalized_form_for_all_lab_test_Enc_202304151710" description="Connection to the '_Create_table__lab_data_a_denormalized_form_for_all_lab_test_Enc_202304151710' query in the workbook." type="5" refreshedVersion="8" background="1" saveData="1">
    <dbPr connection="Provider=Microsoft.Mashup.OleDb.1;Data Source=$Workbook$;Location=_Create_table__lab_data_a_denormalized_form_for_all_lab_test_Enc_202304151710;Extended Properties=&quot;&quot;" command="SELECT * FROM [_Create_table__lab_data_a_denormalized_form_for_all_lab_test_Enc_202304151710]"/>
  </connection>
</connections>
</file>

<file path=xl/sharedStrings.xml><?xml version="1.0" encoding="utf-8"?>
<sst xmlns="http://schemas.openxmlformats.org/spreadsheetml/2006/main" count="1267" uniqueCount="442">
  <si>
    <t>uuid</t>
  </si>
  <si>
    <t>description</t>
  </si>
  <si>
    <t>name</t>
  </si>
  <si>
    <t>HAIN</t>
  </si>
  <si>
    <t>XPERT</t>
  </si>
  <si>
    <t>SMEAR</t>
  </si>
  <si>
    <t>CULTURE</t>
  </si>
  <si>
    <t>type_id</t>
  </si>
  <si>
    <t>TUBERCULOSIS CULTURE</t>
  </si>
  <si>
    <t>TUBERCULOSIS HAIN TEST</t>
  </si>
  <si>
    <t>TUBERCULOSIS XPERT TEST</t>
  </si>
  <si>
    <t>HAIN 2 TEST</t>
  </si>
  <si>
    <t>short_name</t>
  </si>
  <si>
    <t>requires_specimen</t>
  </si>
  <si>
    <t>reference_concept_id</t>
  </si>
  <si>
    <t>test_group</t>
  </si>
  <si>
    <t>HAIN2</t>
  </si>
  <si>
    <t>429fa66a-bdc0-11ed-9c1c-00155d694c4d</t>
  </si>
  <si>
    <t>467412dc-bdc0-11ed-9c1c-00155d694c4d</t>
  </si>
  <si>
    <t>4add0581-bdc0-11ed-9c1c-00155d694c4d</t>
  </si>
  <si>
    <t>515ac86b-bdc0-11ed-9c1c-00155d694c4d</t>
  </si>
  <si>
    <t>53c20f1b-bdc0-11ed-9c1c-00155d694c4d</t>
  </si>
  <si>
    <t>55e9c046-bdc0-11ed-9c1c-00155d694c4d</t>
  </si>
  <si>
    <t>4e81d04f-bdc0-11ed-9c1c-00155d694c4d</t>
  </si>
  <si>
    <t>TB GeneXpert Test</t>
  </si>
  <si>
    <t>TB HAIN Test</t>
  </si>
  <si>
    <t>TB Culture Test</t>
  </si>
  <si>
    <t>TB HAIN2 Test</t>
  </si>
  <si>
    <t>TB Drug Susceptibility Test using MGIT</t>
  </si>
  <si>
    <t>TB Drug Susceptibility Test using LJ</t>
  </si>
  <si>
    <t>UNKNOWN</t>
  </si>
  <si>
    <t>Unknown Test Type</t>
  </si>
  <si>
    <t>OTHER</t>
  </si>
  <si>
    <t>ee9b140e-9a29-11e8-a296-40b034c3cfee</t>
  </si>
  <si>
    <t>APPEARANCE OF SPECIMEN</t>
  </si>
  <si>
    <t>org.openmrs.customdatatype.datatype.ConceptDatatype</t>
  </si>
  <si>
    <t>31bb563a-0370-102d-b0e3-001ec94a0cc1</t>
  </si>
  <si>
    <t>org.openmrs.web.attribute.handler.ConceptFieldGenDatatypeHandler</t>
  </si>
  <si>
    <t>DATE OF REQUEST FOR LABORATORY INVESTIGATION</t>
  </si>
  <si>
    <t>org.openmrs.customdatatype.datatype.DateDatatype</t>
  </si>
  <si>
    <t>e814ce0e-96fb-48ff-a116-c504613b931f</t>
  </si>
  <si>
    <t>org.openmrs.web.attribute.handler.DateFieldGenDatatypeHandler</t>
  </si>
  <si>
    <t>INVESTIGATION DATE</t>
  </si>
  <si>
    <t>LAB SPECIALIST NAME</t>
  </si>
  <si>
    <t>org.openmrs.customdatatype.datatype.FreeTextDatatype</t>
  </si>
  <si>
    <t>Length=200</t>
  </si>
  <si>
    <t>org.openmrs.web.attribute.handler.LongFreeTextTextareaHandler</t>
  </si>
  <si>
    <t>LABORATORY INVESTIGATION NUMBER</t>
  </si>
  <si>
    <t>org.openmrs.customdatatype.datatype.RegexValidatedTextDatatype</t>
  </si>
  <si>
    <t>Regex=[0-9]*</t>
  </si>
  <si>
    <t>org.openmrs.web.attribute.handler.RegexValidatedTextDatatypeHandler</t>
  </si>
  <si>
    <t>MTB RESULT</t>
  </si>
  <si>
    <t>731bdb67-f216-477f-85c2-8af92d999121</t>
  </si>
  <si>
    <t>PURPOSE OF INVESTIGATION</t>
  </si>
  <si>
    <t>5a83a85a-8287-4ae6-8807-681a97b97667</t>
  </si>
  <si>
    <t>REFERRED BY</t>
  </si>
  <si>
    <t>REFERRING FACILITY</t>
  </si>
  <si>
    <t>org.openmrs.customdatatype.datatype.LocationDatatype</t>
  </si>
  <si>
    <t>org.openmrs.web.attribute.handler.LocationFieldGenDatatypeHandler</t>
  </si>
  <si>
    <t>REQUESTING MEDICAL FACILITY</t>
  </si>
  <si>
    <t>357ecc36-1f6f-40c7-9e7e-4105286002b0</t>
  </si>
  <si>
    <t>RIFAMPICIN RESISTANCE</t>
  </si>
  <si>
    <t>12235c33-e627-4636-8b85-8643fadc622e</t>
  </si>
  <si>
    <t>TUBERCULOSIS SPECIMEN COMMENTS</t>
  </si>
  <si>
    <t>org.openmrs.customdatatype.datatype.LongFreeTextDatatype</t>
  </si>
  <si>
    <t>Length=500</t>
  </si>
  <si>
    <t>test_attribute_type_id</t>
  </si>
  <si>
    <t>test_type_id</t>
  </si>
  <si>
    <t>datatype</t>
  </si>
  <si>
    <t>min_occurs</t>
  </si>
  <si>
    <t>max_occurs</t>
  </si>
  <si>
    <t>datatype_config</t>
  </si>
  <si>
    <t>sort_weight</t>
  </si>
  <si>
    <t>preferred_handler</t>
  </si>
  <si>
    <t>hint</t>
  </si>
  <si>
    <t>group_name</t>
  </si>
  <si>
    <t>multiset_name</t>
  </si>
  <si>
    <t>creator</t>
  </si>
  <si>
    <t>date_created</t>
  </si>
  <si>
    <t>retired</t>
  </si>
  <si>
    <t>TUBERCULOSIS SAMPLE SOURCE</t>
  </si>
  <si>
    <t>TUBERCULOSIS TEST RESULT DATE</t>
  </si>
  <si>
    <t>ISONIAZID RESISTANCE</t>
  </si>
  <si>
    <t>DATE COLLECTED</t>
  </si>
  <si>
    <t>31bf065e-0370-102d-b0e3-001ec94a0cc1</t>
  </si>
  <si>
    <t>ERROR CODE</t>
  </si>
  <si>
    <t>XPERT MTB BURDEN</t>
  </si>
  <si>
    <t>73ac78a7-6c49-490a-bb6e-ba94bc6d0479</t>
  </si>
  <si>
    <t>9446085c-86ae-4e06-b571-f8a88217b472</t>
  </si>
  <si>
    <t>COLONIES</t>
  </si>
  <si>
    <t>DAYS TO POSITIVITY</t>
  </si>
  <si>
    <t>TUBERCULOSIS CULTURE METHOD</t>
  </si>
  <si>
    <t>TYPE OF ORGANISM</t>
  </si>
  <si>
    <t>TYPE OF ORGANISM NON-CODED</t>
  </si>
  <si>
    <t>31bf0d84-0370-102d-b0e3-001ec94a0cc1</t>
  </si>
  <si>
    <t>31befc22-0370-102d-b0e3-001ec94a0cc1</t>
  </si>
  <si>
    <t>BACILLI</t>
  </si>
  <si>
    <t>org.openmrs.customdatatype.datatype.FloatDatatype</t>
  </si>
  <si>
    <t>DIRECT/INDIRECT</t>
  </si>
  <si>
    <t>org.openmrs.customdatatype.datatype.BooleanDatatype</t>
  </si>
  <si>
    <t>org.openmrs.web.attribute.handler.BooleanFieldGenDatatypeHandler</t>
  </si>
  <si>
    <t>b1c139e2-fc0e-46f0-af5b-93fdfabc42d9</t>
  </si>
  <si>
    <t>a1930ed3-333f-4bdd-9c56-6b9791143e8a</t>
  </si>
  <si>
    <t>8bf73e32-f75a-4242-9bcf-92c387ff264e</t>
  </si>
  <si>
    <t>044afaa8-5e59-4aae-9845-3141544d9957</t>
  </si>
  <si>
    <t>5d758f40-a683-4779-8a49-e7320a7b863e</t>
  </si>
  <si>
    <t>917e64f7-893a-4ef7-92e4-e6c1fa592300</t>
  </si>
  <si>
    <t>7b41b1ae-410f-4b4a-adae-f7394311f49e</t>
  </si>
  <si>
    <t>92649f85-64d9-4ef0-b266-df583e3b6715</t>
  </si>
  <si>
    <t>6371d4c7-b3c6-4d57-8d03-7a383b616fc7</t>
  </si>
  <si>
    <t>85209eef-f575-4a5f-9357-e8e39a1785cf</t>
  </si>
  <si>
    <t>988fa8f7-c67d-44c8-99e8-fdd20a4b0050</t>
  </si>
  <si>
    <t>68e27ec8-37da-4ab8-b992-f90374275043</t>
  </si>
  <si>
    <t>OFLOXACIN RESISTANCE</t>
  </si>
  <si>
    <t>MOXIFLOXACIN RESISTANCE</t>
  </si>
  <si>
    <t>LEVOFLOXACIN RESISTANCE</t>
  </si>
  <si>
    <t>PROTHIONAMIDE RESISTANCE</t>
  </si>
  <si>
    <t>LINEZOLID RESISTANCE</t>
  </si>
  <si>
    <t>CLOFAZAMINE RESISTANCE</t>
  </si>
  <si>
    <t>BEDAQUILINE RESISTANCE</t>
  </si>
  <si>
    <t>DELAMANID RESISTANCE</t>
  </si>
  <si>
    <t>P-AMINOSALICY RESISTANCE</t>
  </si>
  <si>
    <t>CAPREOMYCIN RESISTANCE</t>
  </si>
  <si>
    <t>KANAMYCIN RESISTANCE</t>
  </si>
  <si>
    <t>AMIKACIN RESISTANCE</t>
  </si>
  <si>
    <t>CONCENTRATION</t>
  </si>
  <si>
    <t>COLONIES IN CONTROL</t>
  </si>
  <si>
    <t>TUBERCULOSIS DRUG SENSITIVITY TEST METHOD</t>
  </si>
  <si>
    <t>31bf023a-0370-102d-b0e3-001ec94a0cc1</t>
  </si>
  <si>
    <t>Regex=[0-9A-Za-z]*</t>
  </si>
  <si>
    <t>CIPROFLOXACIN RESISTANCE</t>
  </si>
  <si>
    <t>f82db553-afdf-4560-8ad5-5e0b2da0d7ae</t>
  </si>
  <si>
    <t>CLARITHROMYCIN RESISTANCE</t>
  </si>
  <si>
    <t>7723532f-5736-4fa3-9b51-39e10d9be47b</t>
  </si>
  <si>
    <t>CYCLOSERINE RESISTANCE</t>
  </si>
  <si>
    <t>9010317e-e348-4ac9-b73a-539edeca2ac0</t>
  </si>
  <si>
    <t>ETHAMBUTOL RESISTANCE</t>
  </si>
  <si>
    <t>8267241e-8c5d-4814-a1e0-e09e7f98399d</t>
  </si>
  <si>
    <t>ETHIONAMIDE RESISTANCE</t>
  </si>
  <si>
    <t>GATIFLOXACIN RESISTANCE</t>
  </si>
  <si>
    <t>PYRAZINAMIDE RESISTANCE</t>
  </si>
  <si>
    <t>PYRIDOXINE RESISTANCE</t>
  </si>
  <si>
    <t>RIFABUTIN RESISTANCE</t>
  </si>
  <si>
    <t>STREPTOMYCIN RESISTANCE</t>
  </si>
  <si>
    <t>TERIZIDONE RESISTANCE</t>
  </si>
  <si>
    <t>THIOACETAZONE RESISTANCE</t>
  </si>
  <si>
    <t>VIOMYCIN RESISTANCE</t>
  </si>
  <si>
    <t>OTHER RESISTANCE</t>
  </si>
  <si>
    <t>899e13bf-b959-49e4-8ef4-c5644c0c4709</t>
  </si>
  <si>
    <t>ce390615-08fd-48da-9962-aa97214c47ca</t>
  </si>
  <si>
    <t>3ba43856-00c1-46d0-9c39-875487bd1562</t>
  </si>
  <si>
    <t>0a9528dd-fa14-4700-b682-ee218a0f741d</t>
  </si>
  <si>
    <t>3892c5f2-3b71-4d34-a7d9-261dabcdbd5f</t>
  </si>
  <si>
    <t>780eb765-8dcb-4edf-a808-fc643fe26b60</t>
  </si>
  <si>
    <t>18876a12-3a06-450c-af3c-aaa774e902b6</t>
  </si>
  <si>
    <t>b877ac5a-7e03-4c38-bab5-6afe5ac76a74</t>
  </si>
  <si>
    <t>95b09178-3928-11ee-9784-e86a64440f18</t>
  </si>
  <si>
    <t>0d6508b3-5bfb-0c0d-8abf-5e41ce013e01</t>
  </si>
  <si>
    <t>8fb3241f-3b38-5a74-4c16-3c64cbb61410</t>
  </si>
  <si>
    <t>475932eb-51a0-0c66-006f-6823f161c7f2</t>
  </si>
  <si>
    <t>28bf5b0e-6766-6fff-7f85-a6be83a2510c</t>
  </si>
  <si>
    <t>b4b3a94f-247f-fa07-4ea8-20b86d1095e9</t>
  </si>
  <si>
    <t>b9421ee6-f34b-a054-3556-5c0736e9f553</t>
  </si>
  <si>
    <t>5baeba18-9bf1-95ad-9a51-f56f59403436</t>
  </si>
  <si>
    <t>ce49756b-929b-3920-f1a1-3fd205440576</t>
  </si>
  <si>
    <t>41fd3be8-c38a-f56a-93e0-651efa6eb8a8</t>
  </si>
  <si>
    <t>967c1ef2-6017-2e42-11d7-d11c790791e5</t>
  </si>
  <si>
    <t>b2e71d95-3355-b726-5cb1-fd04451a1ae7</t>
  </si>
  <si>
    <t>1c2a102e-17fb-403d-55fc-8fe636e073fd</t>
  </si>
  <si>
    <t>f6da7bbd-3498-e824-c9e3-42ae6e1c3bed</t>
  </si>
  <si>
    <t>ISONIAZID RESULT</t>
  </si>
  <si>
    <t>RIFAMPICIN RESULT</t>
  </si>
  <si>
    <t>ba64b628-85a2-1d7c-11f0-8a1cc37f6feb</t>
  </si>
  <si>
    <t>56bae341-e219-c57a-5bae-4efdd8b661b2</t>
  </si>
  <si>
    <t>aa426226-4bfd-851a-29d0-0f4dc9d2e0cd</t>
  </si>
  <si>
    <t>a4eb82c0-9152-320e-cc3a-22e40b463ada</t>
  </si>
  <si>
    <t>2a939304-4175-a348-5d0b-c3697bb2b6d8</t>
  </si>
  <si>
    <t>b39aadf5-1161-2ab3-6abe-0e13af55f559</t>
  </si>
  <si>
    <t>5c65c082-9180-9e04-2e51-4b5262c73133</t>
  </si>
  <si>
    <t>d6019f37-b6ae-4e7c-80df-484f3c87d09c</t>
  </si>
  <si>
    <t>3b9826b6-384e-78ea-7532-107f9b2054cf</t>
  </si>
  <si>
    <t>a657d559-1940-61ba-ab26-b44232dd4343</t>
  </si>
  <si>
    <t>79f9f6ec-f880-db2d-4eb3-3a9ab2221e55</t>
  </si>
  <si>
    <t>886e914d-8451-8cc2-8974-1994a4baa542</t>
  </si>
  <si>
    <t>74f62e90-aaff-bec0-075b-63fde89f78f2</t>
  </si>
  <si>
    <t>f02f392c-07cc-314e-103a-00356a151c7b</t>
  </si>
  <si>
    <t>4a33e026-3505-c85f-6cab-491fcc5cb4ec</t>
  </si>
  <si>
    <t>67201398-7569-e5c9-1be0-3861d3b53d6e</t>
  </si>
  <si>
    <t>84a6320e-946c-127c-32cb-f20ed5a2e93b</t>
  </si>
  <si>
    <t>5921a8e6-8dc7-acf3-3918-1a32a5f7d2ac</t>
  </si>
  <si>
    <t>602bbf02-ee2d-5fcf-d9c5-660591238272</t>
  </si>
  <si>
    <t>e162d3fe-7bb8-b48f-a302-f259d1ff92c6</t>
  </si>
  <si>
    <t>b01c151c-2aa0-7173-cd50-c074c65e667b</t>
  </si>
  <si>
    <t>dc122d9d-511f-786b-979d-cf6f06513b6b</t>
  </si>
  <si>
    <t>6a06e8a9-6f5f-4c22-ceaa-084903f3b228</t>
  </si>
  <si>
    <t>c2146a70-a382-8cb0-311d-b719c2322d12</t>
  </si>
  <si>
    <t>a314d9a2-68c5-a3e9-58f3-2c031bcddefb</t>
  </si>
  <si>
    <t>6c9b5dfd-968c-6602-3ec0-adcf4dab4aa6</t>
  </si>
  <si>
    <t>650dfe66-8f4d-d962-33b0-9261e37d2a32</t>
  </si>
  <si>
    <t>3bd126bf-b3f5-d889-5730-e776c06bc04a</t>
  </si>
  <si>
    <t>d7b92e7e-8493-1d03-aaf4-70cdd1bd73d9</t>
  </si>
  <si>
    <t>4ab4b7e0-5b8a-7f7c-f886-a298f7921b61</t>
  </si>
  <si>
    <t>e931998b-f62e-1364-6eb8-f11f5d0ce90a</t>
  </si>
  <si>
    <t>8907e882-0731-f28e-bf3f-e4b9f7cee6ad</t>
  </si>
  <si>
    <t>59ffcef2-38e7-2953-392c-6c07d4902ba1</t>
  </si>
  <si>
    <t>8939137e-41db-7d4d-f74d-7db73ee0ec2b</t>
  </si>
  <si>
    <t>d9787ac9-a5a7-d809-8cb2-71737f044c98</t>
  </si>
  <si>
    <t>4cbfd97b-0380-f908-d629-b565cab05c42</t>
  </si>
  <si>
    <t>d4ee08fd-a1cb-5fac-6ba8-bf7e868c9fa2</t>
  </si>
  <si>
    <t>988850db-cbe0-5b97-e0df-8087b3d89c62</t>
  </si>
  <si>
    <t>5f9063d2-7552-2d0c-9936-e9213efb84a1</t>
  </si>
  <si>
    <t>6a337846-3540-7973-6b28-1e15b04d8638</t>
  </si>
  <si>
    <t>a42a263d-3393-8909-a8f4-425358c3d3be</t>
  </si>
  <si>
    <t>bf24da0c-1437-5ab9-0d2b-72b925624665</t>
  </si>
  <si>
    <t>963cf4cc-8ec5-fd9a-cbdb-f2321ae7b097</t>
  </si>
  <si>
    <t>9e549e8d-cc29-1862-c7de-6584788ead1b</t>
  </si>
  <si>
    <t>TUBERCULOSIS SPECIMEN ID</t>
  </si>
  <si>
    <t>MONTH OF TREATMENT</t>
  </si>
  <si>
    <t>PATIENT PROGRAM ID</t>
  </si>
  <si>
    <t>3b0a1af3-2195-74ac-73a7-e85f29d46958</t>
  </si>
  <si>
    <t>14b38f84-50a1-9634-912b-541ffec0d607</t>
  </si>
  <si>
    <t>3db317ce-9593-abe1-37f2-18fa675b3c09</t>
  </si>
  <si>
    <t>1921ca02-d05a-d872-aa07-fda7fd27036d</t>
  </si>
  <si>
    <t>29d17134-4c64-0dc4-fd5b-ba165db5790f</t>
  </si>
  <si>
    <t>079ba1c4-121a-d6fc-2158-1292d070b8f4</t>
  </si>
  <si>
    <t>b191f564-5ac1-0c64-84cd-8118981a126d</t>
  </si>
  <si>
    <t>ae8c674d-c363-cae2-f4c9-dfdca96aef6f</t>
  </si>
  <si>
    <t>98c2618d-b5e2-665f-5b2b-b57028f728ef</t>
  </si>
  <si>
    <t>4d2022ee-fcaf-aae0-1b9b-4ca764a8c5e2</t>
  </si>
  <si>
    <t>ae457941-9c1f-b6cc-d6e7-7e755d8a40c1</t>
  </si>
  <si>
    <t>7cd928bb-98a0-ef13-8884-7cc5cf6e1879</t>
  </si>
  <si>
    <t>2c94cc4c-9d5f-1fb9-e55b-333fe7458278</t>
  </si>
  <si>
    <t>ecc3fa79-b1ae-a761-a540-68fdbe434442</t>
  </si>
  <si>
    <t>2ab37403-9c73-e035-47a9-5b343046b3a1</t>
  </si>
  <si>
    <t>bf91fd17-1d02-d204-db7e-0b5cb42f031e</t>
  </si>
  <si>
    <t>70d045cd-6628-4c39-a9d0-20fbda16c84e</t>
  </si>
  <si>
    <t>aef0affd-a465-5dcb-425a-ee10b285acdf</t>
  </si>
  <si>
    <t>d78bf1e3-6228-44ae-e8b2-16bc93d6a2ba</t>
  </si>
  <si>
    <t>1b5310d2-6dce-dd56-05f5-a24fa5abd9f2</t>
  </si>
  <si>
    <t>364fca79-90c7-4671-0c00-6c48e8e6eaf6</t>
  </si>
  <si>
    <t>9a36cf7b-5a0d-b4bb-dac2-6bcf987c6ec2</t>
  </si>
  <si>
    <t>98bb7cb9-ad61-4d47-ba63-5ebff2ca0999</t>
  </si>
  <si>
    <t>c3b9e4eb-5f1d-52ab-be06-90e26e0628d1</t>
  </si>
  <si>
    <t>b39fd7d8-1285-4496-3e7e-eacb992790a8</t>
  </si>
  <si>
    <t>fb9ed4a6-f570-5b3e-6c96-ef93a1c80059</t>
  </si>
  <si>
    <t>36148233-24e6-3c23-b753-009326a59af5</t>
  </si>
  <si>
    <t>24cbfab0-233a-ed8d-cc79-beb550e083f5</t>
  </si>
  <si>
    <t>23e1c937-1293-6106-9d4b-4e6c2dbe3a41</t>
  </si>
  <si>
    <t>7ae65142-6ec3-fae4-d7e9-1251a6492749</t>
  </si>
  <si>
    <t>d6e11b63-ef2f-e44f-d919-94b9c4f19329</t>
  </si>
  <si>
    <t>4ee82db4-562b-9664-9481-6862deb7ce6d</t>
  </si>
  <si>
    <t>4f98e211-d992-cf55-e54c-69b63f0eee28</t>
  </si>
  <si>
    <t>69ab1f24-ab82-20d3-7b4b-e60996faebac</t>
  </si>
  <si>
    <t>14eefd82-e282-e15b-96fc-eebc1fa4c995</t>
  </si>
  <si>
    <t>80bf87bd-d705-06ae-79ec-9ec2c3e70f1d</t>
  </si>
  <si>
    <t>068986dd-baeb-cf7f-d681-95856e99ff14</t>
  </si>
  <si>
    <t>5f22aa0f-3487-2441-63c7-7b34e2b7a056</t>
  </si>
  <si>
    <t>f0235a9e-3837-2ffa-20ce-f6a0ca1115c6</t>
  </si>
  <si>
    <t>00ad473c-e049-9caf-ab66-e157b945af13</t>
  </si>
  <si>
    <t>b60e67ca-2357-ca5a-c624-83ba380115ce</t>
  </si>
  <si>
    <t>70bf1585-3310-f0a9-a80b-f1c29946da60</t>
  </si>
  <si>
    <t>f5f0d48a-8912-4bba-333e-2993279db305</t>
  </si>
  <si>
    <t>bf854bb8-7ec9-dc5d-8367-c9231b3a7370</t>
  </si>
  <si>
    <t>2f44bbfe-171c-e2ba-fad2-ff0264aa7738</t>
  </si>
  <si>
    <t>a2ea5500-29fb-7bcd-8ec3-2c5c4adb53b5</t>
  </si>
  <si>
    <t>85df0b41-1073-364b-05c5-e79ca00b8c6d</t>
  </si>
  <si>
    <t>334a9a2e-143a-a4ff-87b5-4f4b9cb3727e</t>
  </si>
  <si>
    <t>77ac4ef5-d6bf-30c3-5da4-4e3cea547538</t>
  </si>
  <si>
    <t>29d27297-9fde-971d-e1e3-08c7ca1c096f</t>
  </si>
  <si>
    <t>1488b161-6e0b-9c5e-60a6-ad447a0931ef</t>
  </si>
  <si>
    <t>TUBERCULOSIS CULTURE RESULT</t>
  </si>
  <si>
    <t>MICROSCOPY RESULT</t>
  </si>
  <si>
    <t>DATE OF INOCULATION OF CULTURE</t>
  </si>
  <si>
    <t>LABORATORY NO</t>
  </si>
  <si>
    <t>MT ID TEST</t>
  </si>
  <si>
    <t>MGIT CULTURE RESULT</t>
  </si>
  <si>
    <t>TYPE OF CULTURE REPORTED</t>
  </si>
  <si>
    <t>DATE OF REPORTING CULTURE RESULT</t>
  </si>
  <si>
    <t>PLACE OF CULTURE</t>
  </si>
  <si>
    <t>DATE OF SENDING TO CULTURE</t>
  </si>
  <si>
    <t>DATE OF SENDING TO DST</t>
  </si>
  <si>
    <t>SENT TO DST</t>
  </si>
  <si>
    <t>SENT TO CULTURE</t>
  </si>
  <si>
    <t>TUBERCULOSIS SMEAR RESULT</t>
  </si>
  <si>
    <t>31bf1446-0370-102d-b0e3-001ec94a0cc1</t>
  </si>
  <si>
    <t>31bf0f32-0370-102d-b0e3-001ec94a0cc1</t>
  </si>
  <si>
    <t>95e4c5b3-713b-4c79-87ba-8eaa0d06a37b</t>
  </si>
  <si>
    <t>439df3be-1b42-40ea-8b81-67216a45bdeb</t>
  </si>
  <si>
    <t>ba75a771-f0b3-4e3e-9bbb-a04e924486cf</t>
  </si>
  <si>
    <t>1e2e3f1c-d977-4c6c-8afc-a3bfbf81ccc7</t>
  </si>
  <si>
    <t>389b7b67-d63d-4965-b47b-b025cbbb2dd2</t>
  </si>
  <si>
    <t>49b37a11-85d3-4cd3-ad34-4a58b1787b61</t>
  </si>
  <si>
    <t>2a4538fb-ff98-46ca-9e83-56feeba46d85</t>
  </si>
  <si>
    <t>8ec93c37-c806-44d1-a7ae-32793ee76e04</t>
  </si>
  <si>
    <t>45f912d7-b082-437b-8098-d949ed6012f7</t>
  </si>
  <si>
    <t>55d74559-8b87-410e-bde7-0b997051d222</t>
  </si>
  <si>
    <t>DST MGIT</t>
  </si>
  <si>
    <t>DST LJ</t>
  </si>
  <si>
    <t>COMMON TEST</t>
  </si>
  <si>
    <t>DST_MGIT</t>
  </si>
  <si>
    <t>DST_LJ</t>
  </si>
  <si>
    <t>MDRTB</t>
  </si>
  <si>
    <t>TB Tests for MDRTB</t>
  </si>
  <si>
    <t>a657d559-1940-61ab-ab26-b44232ff4343</t>
  </si>
  <si>
    <t>79f9f6ec-f880-db2d-4eb3-3a9ab3331eaa</t>
  </si>
  <si>
    <t>ETHAMBUTOL RESULT</t>
  </si>
  <si>
    <t>КМ/АМ/СМ RESULT</t>
  </si>
  <si>
    <t>MOX/OFX RESULT</t>
  </si>
  <si>
    <t>681df588-feda-25de-5a3b-151ea6c53b73</t>
  </si>
  <si>
    <t>35432d44-c2f8-f0f8-a098-f9371ad09aad</t>
  </si>
  <si>
    <t>446a2e47-8c7d-dae1-e435-3bfe407cce48</t>
  </si>
  <si>
    <t>50a9f561-7b8f-dd88-7d12-a498fa94d167</t>
  </si>
  <si>
    <t>f1ccb2ca-51bd-eb0c-03f1-e1aa4fb9f6ca</t>
  </si>
  <si>
    <t>c2a7ede3-60e5-c35a-b224-51d6e6891387</t>
  </si>
  <si>
    <t>a6f97a9c-0830-5d64-c5ac-07d6ec6ba05b</t>
  </si>
  <si>
    <t>7993c9e4-b6bd-0731-1ce2-b34e1377de10</t>
  </si>
  <si>
    <t>f88d2453-1102-b5dd-86d2-a1b30f024039</t>
  </si>
  <si>
    <t>66fb9b3b-6417-c5cd-0e7e-35d4d340d3c2</t>
  </si>
  <si>
    <t>5e0bd92f-14c6-dacc-dc9a-e8293b5f0b0c</t>
  </si>
  <si>
    <t>9f5db9f3-c1fa-8f67-c9ac-968de01922c5</t>
  </si>
  <si>
    <t>52caf4e5-00c7-919c-116c-3fc8378543d3</t>
  </si>
  <si>
    <t>9ce8bce6-9433-34ff-33ec-3faf31433381</t>
  </si>
  <si>
    <t>b8f88eec-dfa8-e34a-b01e-ccc04889b7e9</t>
  </si>
  <si>
    <t>92f012aa-7520-72e1-768b-24135868c58f</t>
  </si>
  <si>
    <t>f18df7e3-fc9e-dc7b-2c19-b465c8f57f10</t>
  </si>
  <si>
    <t>3d5290dc-7033-445f-4d1e-56101b379795</t>
  </si>
  <si>
    <t>50ab22d5-4cba-1fc7-6bba-141ce24d640f</t>
  </si>
  <si>
    <t>4e14d7be-0ac1-f3e0-1b19-8baaa34a7e8b</t>
  </si>
  <si>
    <t>a988f748-ba84-440e-f8bd-67dc3b330417</t>
  </si>
  <si>
    <t>2afb8b55-e80b-ce48-1c17-31158f618c4c</t>
  </si>
  <si>
    <t>8954ab4d-b8f7-dab6-86ef-39abd306c2ac</t>
  </si>
  <si>
    <t>a415900d-cb1c-6842-fd9a-5b333801673c</t>
  </si>
  <si>
    <t>b2facf73-a306-2ffb-6e66-827becfbee68</t>
  </si>
  <si>
    <t>10007073-ab6f-bce0-008e-9a221f817a63</t>
  </si>
  <si>
    <t>de49452f-6c44-f7ff-4e28-9bbdbd6f85c3</t>
  </si>
  <si>
    <t>7b2a58a4-f198-75ef-58a5-d453c217e038</t>
  </si>
  <si>
    <t>f2d3e4a4-3048-9397-b67d-ce6d27f1ddc2</t>
  </si>
  <si>
    <t>3972399c-5b62-2114-5896-2aa8659798c9</t>
  </si>
  <si>
    <t>6cf2cc38-cc88-111a-1a17-f4a5d92c7218</t>
  </si>
  <si>
    <t>cc163cfe-79cd-5e3c-8310-08f1d62b74c8</t>
  </si>
  <si>
    <t>3c1ab259-8302-d779-8092-7165c2713fdc</t>
  </si>
  <si>
    <t>184d45dc-704f-7a70-6ef1-e3f6b61ac0ba</t>
  </si>
  <si>
    <t>8c04f0e7-c00b-a749-b2bf-f627b544e071</t>
  </si>
  <si>
    <t>db3eee26-6e92-750d-c496-990fbcb20274</t>
  </si>
  <si>
    <t>31f0f31b-d764-406a-749a-ba3e3d18f626</t>
  </si>
  <si>
    <t>b450339f-0acc-683c-bf1a-b7a957a92843</t>
  </si>
  <si>
    <t>af2891bf-eeb5-ae26-a24f-f31a1781302d</t>
  </si>
  <si>
    <t>5e88e274-0db7-c9a0-9cbb-94c0eaef0abb</t>
  </si>
  <si>
    <t>20eb593b-b593-3219-b21d-e5d446e7620e</t>
  </si>
  <si>
    <t>d2d0ff35-ab34-74ab-e90b-5a20322a5cac</t>
  </si>
  <si>
    <t>d53fa529-abc0-8ed9-bdee-6259dda0fde6</t>
  </si>
  <si>
    <t>42e12c50-eee3-3026-3a10-9f735ea693b2</t>
  </si>
  <si>
    <t>3c9af922-ba09-6ac9-3c45-a29923fd9ab2</t>
  </si>
  <si>
    <t>8fa7a16b-c0f6-a5b2-f789-3d0fe663f5c1</t>
  </si>
  <si>
    <t>8a0efe11-0586-2776-dc97-3f9b82748323</t>
  </si>
  <si>
    <t>159da85b-b401-6693-d8c9-dd6dbf88c764</t>
  </si>
  <si>
    <t>f54080b8-19e6-e75f-4a6b-1ab07ad925dc</t>
  </si>
  <si>
    <t>0eefdcda-0809-b3d5-af38-83bd1164396b</t>
  </si>
  <si>
    <t>357756a7-49a2-b1b0-428c-c77f7a5aaca2</t>
  </si>
  <si>
    <t>7070ce6d-0897-3334-4272-9c5b127cbfce</t>
  </si>
  <si>
    <t>e885b0db-7196-d736-54a2-ce5f3ae44234</t>
  </si>
  <si>
    <t>START DATE</t>
  </si>
  <si>
    <t>TUBERCULOSIS TEST DATE RECEIVED</t>
  </si>
  <si>
    <t>TUBERCULOSIS TEST DATE ORDERED</t>
  </si>
  <si>
    <t>SUSCEPTIBLE TO TUBERCULOSIS DRUG</t>
  </si>
  <si>
    <t>9d350a3d-6f5b-11ee-af2b-e86a64440f18</t>
  </si>
  <si>
    <t>9d350a5c-6f5b-11ee-af2b-e86a64440f18</t>
  </si>
  <si>
    <t>9d350a61-6f5b-11ee-af2b-e86a64440f18</t>
  </si>
  <si>
    <t>9d350a65-6f5b-11ee-af2b-e86a64440f18</t>
  </si>
  <si>
    <t>9d350a69-6f5b-11ee-af2b-e86a64440f18</t>
  </si>
  <si>
    <t>9d350a6c-6f5b-11ee-af2b-e86a64440f18</t>
  </si>
  <si>
    <t>9d350a70-6f5b-11ee-af2b-e86a64440f18</t>
  </si>
  <si>
    <t>9d350a74-6f5b-11ee-af2b-e86a64440f18</t>
  </si>
  <si>
    <t>9d350a78-6f5b-11ee-af2b-e86a64440f18</t>
  </si>
  <si>
    <t>abd71232-6f5b-11ee-af2b-e86a64440f18</t>
  </si>
  <si>
    <t>abd7124c-6f5b-11ee-af2b-e86a64440f18</t>
  </si>
  <si>
    <t>abd71252-6f5b-11ee-af2b-e86a64440f18</t>
  </si>
  <si>
    <t>abd71255-6f5b-11ee-af2b-e86a64440f18</t>
  </si>
  <si>
    <t>abd71259-6f5b-11ee-af2b-e86a64440f18</t>
  </si>
  <si>
    <t>abd7125d-6f5b-11ee-af2b-e86a64440f18</t>
  </si>
  <si>
    <t>abd71261-6f5b-11ee-af2b-e86a64440f18</t>
  </si>
  <si>
    <t>abd71264-6f5b-11ee-af2b-e86a64440f18</t>
  </si>
  <si>
    <t>abd71268-6f5b-11ee-af2b-e86a64440f18</t>
  </si>
  <si>
    <t>af02fa00-6f5b-11ee-af2b-e86a64440f18</t>
  </si>
  <si>
    <t>af02fa1c-6f5b-11ee-af2b-e86a64440f18</t>
  </si>
  <si>
    <t>af02fa22-6f5b-11ee-af2b-e86a64440f18</t>
  </si>
  <si>
    <t>af02fa26-6f5b-11ee-af2b-e86a64440f18</t>
  </si>
  <si>
    <t>af02fa2a-6f5b-11ee-af2b-e86a64440f18</t>
  </si>
  <si>
    <t>af02fa2e-6f5b-11ee-af2b-e86a64440f18</t>
  </si>
  <si>
    <t>af02fabb-6f5b-11ee-af2b-e86a64440f18</t>
  </si>
  <si>
    <t>af02fac0-6f5b-11ee-af2b-e86a64440f18</t>
  </si>
  <si>
    <t>af02fac4-6f5b-11ee-af2b-e86a64440f18</t>
  </si>
  <si>
    <t>b2c206eb-6f5b-11ee-af2b-e86a64440f18</t>
  </si>
  <si>
    <t>b2c20705-6f5b-11ee-af2b-e86a64440f18</t>
  </si>
  <si>
    <t>b2c2070a-6f5b-11ee-af2b-e86a64440f18</t>
  </si>
  <si>
    <t>b2c2070f-6f5b-11ee-af2b-e86a64440f18</t>
  </si>
  <si>
    <t>b2c20713-6f5b-11ee-af2b-e86a64440f18</t>
  </si>
  <si>
    <t>b2c20717-6f5b-11ee-af2b-e86a64440f18</t>
  </si>
  <si>
    <t>b2c2071a-6f5b-11ee-af2b-e86a64440f18</t>
  </si>
  <si>
    <t>WEIGHT</t>
  </si>
  <si>
    <t>INJECTABLE RESISTANCE</t>
  </si>
  <si>
    <t>eff9438b-f4c9-4b4c-aa82-1e5adc0fe09c</t>
  </si>
  <si>
    <t>c6dc76eb-6f5e-11ee-af2b-e86a64440f18</t>
  </si>
  <si>
    <t>c6dc7708-6f5e-11ee-af2b-e86a64440f18</t>
  </si>
  <si>
    <t>c6dc770e-6f5e-11ee-af2b-e86a64440f18</t>
  </si>
  <si>
    <t>c6dc7713-6f5e-11ee-af2b-e86a64440f18</t>
  </si>
  <si>
    <t>c6dc7717-6f5e-11ee-af2b-e86a64440f18</t>
  </si>
  <si>
    <t>c6dc771b-6f5e-11ee-af2b-e86a64440f18</t>
  </si>
  <si>
    <t>c6dc771f-6f5e-11ee-af2b-e86a64440f18</t>
  </si>
  <si>
    <t>DST</t>
  </si>
  <si>
    <t>31bb4a82-0370-102d-b0e3-001ec94a0cc1</t>
  </si>
  <si>
    <t>998dea9c-21ba-42b3-bcaf-173fcb9ea78b</t>
  </si>
  <si>
    <t>95b09185-3928-11ee-9784-e86a64440f18</t>
  </si>
  <si>
    <t>XPERT ULTRA</t>
  </si>
  <si>
    <t>c91fb03b-acaf-4a3c-9a5b-3d32e4ac4d34</t>
  </si>
  <si>
    <t>159f8b31-0c0a-4377-bea9-667a72a949b7</t>
  </si>
  <si>
    <t>cedb082c-3a94-48f6-a192-fda9f2c48afd</t>
  </si>
  <si>
    <t>XPERT ULTRA MTB BURDEN</t>
  </si>
  <si>
    <t>ab70a74d-2bcd-4deb-abe7-d3dc9058edaf</t>
  </si>
  <si>
    <t>3fb27302-f1ca-477a-9306-58bba806cfd8</t>
  </si>
  <si>
    <t>686387e4-af27-4442-af41-395e72f1f712</t>
  </si>
  <si>
    <t>ec9b4609-7ea5-461e-9aa6-bd515d230d52</t>
  </si>
  <si>
    <t>479844a7-745f-4d40-9fff-dd254dfd8935</t>
  </si>
  <si>
    <t>b28d58fc-a765-4a63-9d43-538c1880a413</t>
  </si>
  <si>
    <t>e69a0ce4-18c9-49f9-bcfb-713447214933</t>
  </si>
  <si>
    <t>fd5ef525-8f47-4553-836b-a00289e2e2a0</t>
  </si>
  <si>
    <t>XPERT XDR</t>
  </si>
  <si>
    <t>f516fc8a-2a06-4ffa-bbcb-1f69d855dd14</t>
  </si>
  <si>
    <t>304cf8f8-2424-4070-a7aa-721b971d0894</t>
  </si>
  <si>
    <t>a3d9d7f6-0cea-4fe9-968e-5778438e8226</t>
  </si>
  <si>
    <t>89d6f422-6653-413f-9d44-be07095d383e</t>
  </si>
  <si>
    <t>f6ca29a8-c6d5-49b9-b25d-e0a1e20de760</t>
  </si>
  <si>
    <t>KM/AM/CM RESULT</t>
  </si>
  <si>
    <t>6e350688-a9e8-4685-b614-b5951542c6d6</t>
  </si>
  <si>
    <t>ETHIONAMIDE RESULT</t>
  </si>
  <si>
    <t>f4cde26f-614b-4015-8c20-497bc90f7de1</t>
  </si>
  <si>
    <t>1ad71659-6d1d-4e86-a489-8c12e70b13a9</t>
  </si>
  <si>
    <t>c48f9814-6c04-471b-adda-713625e6678e</t>
  </si>
  <si>
    <t>97866288-9749-476d-862f-dd9a09076186</t>
  </si>
  <si>
    <t>de67a5c3-a093-419e-96ea-f376530824f5</t>
  </si>
  <si>
    <t>75a82d0c-a2dc-49e0-9d27-3a42950713df</t>
  </si>
  <si>
    <t>f399e490-ed5a-474f-a755-63d22092e05f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</si>
</sst>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1D0428A-969F-4690-B869-2D79DCD16CFC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5B4B-D70A-4443-93B0-432A965AFDEB}">
  <dimension ref="A1:H9"/>
  <sheetViews>
    <sheetView tabSelected="1" zoomScaleNormal="100" workbookViewId="0">
      <selection activeCell="D3" sqref="D3:D9"/>
    </sheetView>
  </sheetViews>
  <sheetFormatPr defaultRowHeight="15" x14ac:dyDescent="0.25"/>
  <cols>
    <col min="1" max="1" width="11.7109375" style="1" bestFit="1" customWidth="1"/>
    <col min="2" max="2" width="37" bestFit="1" customWidth="1"/>
    <col min="3" max="3" width="32.28515625" bestFit="1" customWidth="1"/>
    <col min="4" max="4" width="14.5703125" bestFit="1" customWidth="1"/>
    <col min="5" max="5" width="20.7109375" bestFit="1" customWidth="1"/>
    <col min="6" max="6" width="21.28515625" bestFit="1" customWidth="1"/>
    <col min="7" max="7" width="24" bestFit="1" customWidth="1"/>
    <col min="8" max="8" width="35.85546875" bestFit="1" customWidth="1"/>
  </cols>
  <sheetData>
    <row r="1" spans="1:8" s="3" customFormat="1" x14ac:dyDescent="0.25">
      <c r="A1" s="2" t="s">
        <v>7</v>
      </c>
      <c r="B1" s="3" t="s">
        <v>2</v>
      </c>
      <c r="C1" s="3" t="s">
        <v>1</v>
      </c>
      <c r="D1" s="3" t="s">
        <v>15</v>
      </c>
      <c r="E1" s="3" t="s">
        <v>12</v>
      </c>
      <c r="F1" s="3" t="s">
        <v>13</v>
      </c>
      <c r="G1" s="3" t="s">
        <v>14</v>
      </c>
      <c r="H1" s="3" t="s">
        <v>0</v>
      </c>
    </row>
    <row r="2" spans="1:8" x14ac:dyDescent="0.25">
      <c r="A2" s="1">
        <v>1</v>
      </c>
      <c r="B2" t="s">
        <v>30</v>
      </c>
      <c r="C2" t="s">
        <v>31</v>
      </c>
      <c r="D2" t="s">
        <v>32</v>
      </c>
      <c r="E2" t="s">
        <v>30</v>
      </c>
      <c r="F2">
        <v>0</v>
      </c>
      <c r="G2">
        <v>19</v>
      </c>
      <c r="H2" t="s">
        <v>33</v>
      </c>
    </row>
    <row r="3" spans="1:8" x14ac:dyDescent="0.25">
      <c r="A3" s="1">
        <v>2</v>
      </c>
      <c r="B3" t="s">
        <v>10</v>
      </c>
      <c r="C3" t="s">
        <v>24</v>
      </c>
      <c r="D3" t="s">
        <v>32</v>
      </c>
      <c r="E3" t="s">
        <v>4</v>
      </c>
      <c r="F3">
        <v>1</v>
      </c>
      <c r="G3">
        <v>311</v>
      </c>
      <c r="H3" t="s">
        <v>17</v>
      </c>
    </row>
    <row r="4" spans="1:8" x14ac:dyDescent="0.25">
      <c r="A4" s="1">
        <v>3</v>
      </c>
      <c r="B4" t="s">
        <v>9</v>
      </c>
      <c r="C4" t="s">
        <v>25</v>
      </c>
      <c r="D4" t="s">
        <v>32</v>
      </c>
      <c r="E4" t="s">
        <v>3</v>
      </c>
      <c r="F4">
        <v>1</v>
      </c>
      <c r="G4">
        <v>323</v>
      </c>
      <c r="H4" t="s">
        <v>18</v>
      </c>
    </row>
    <row r="5" spans="1:8" x14ac:dyDescent="0.25">
      <c r="A5" s="1">
        <v>4</v>
      </c>
      <c r="B5" t="s">
        <v>8</v>
      </c>
      <c r="C5" t="s">
        <v>26</v>
      </c>
      <c r="D5" t="s">
        <v>32</v>
      </c>
      <c r="E5" t="s">
        <v>6</v>
      </c>
      <c r="F5">
        <v>1</v>
      </c>
      <c r="G5">
        <v>153</v>
      </c>
      <c r="H5" t="s">
        <v>19</v>
      </c>
    </row>
    <row r="6" spans="1:8" x14ac:dyDescent="0.25">
      <c r="A6" s="1">
        <v>5</v>
      </c>
      <c r="B6" t="s">
        <v>298</v>
      </c>
      <c r="C6" t="s">
        <v>302</v>
      </c>
      <c r="D6" t="s">
        <v>32</v>
      </c>
      <c r="E6" t="s">
        <v>301</v>
      </c>
      <c r="F6">
        <v>1</v>
      </c>
      <c r="G6">
        <v>410</v>
      </c>
      <c r="H6" t="s">
        <v>23</v>
      </c>
    </row>
    <row r="7" spans="1:8" x14ac:dyDescent="0.25">
      <c r="A7" s="1">
        <v>6</v>
      </c>
      <c r="B7" t="s">
        <v>11</v>
      </c>
      <c r="C7" t="s">
        <v>27</v>
      </c>
      <c r="D7" t="s">
        <v>32</v>
      </c>
      <c r="E7" t="s">
        <v>16</v>
      </c>
      <c r="F7">
        <v>1</v>
      </c>
      <c r="G7">
        <v>414</v>
      </c>
      <c r="H7" t="s">
        <v>20</v>
      </c>
    </row>
    <row r="8" spans="1:8" x14ac:dyDescent="0.25">
      <c r="A8" s="1">
        <v>7</v>
      </c>
      <c r="B8" t="s">
        <v>296</v>
      </c>
      <c r="C8" t="s">
        <v>28</v>
      </c>
      <c r="D8" t="s">
        <v>32</v>
      </c>
      <c r="E8" t="s">
        <v>299</v>
      </c>
      <c r="F8">
        <v>1</v>
      </c>
      <c r="G8">
        <v>572</v>
      </c>
      <c r="H8" t="s">
        <v>21</v>
      </c>
    </row>
    <row r="9" spans="1:8" x14ac:dyDescent="0.25">
      <c r="A9" s="1">
        <v>8</v>
      </c>
      <c r="B9" t="s">
        <v>297</v>
      </c>
      <c r="C9" t="s">
        <v>29</v>
      </c>
      <c r="D9" t="s">
        <v>32</v>
      </c>
      <c r="E9" t="s">
        <v>300</v>
      </c>
      <c r="F9">
        <v>1</v>
      </c>
      <c r="G9">
        <v>573</v>
      </c>
      <c r="H9" t="s">
        <v>22</v>
      </c>
    </row>
  </sheetData>
  <autoFilter ref="A1:H9" xr:uid="{B0015B4B-D70A-4443-93B0-432A965AFDEB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6433-8730-4EA0-BCCE-0E80DA08A6A5}">
  <dimension ref="A1:Q227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28515625" customWidth="1"/>
    <col min="2" max="2" width="13.7109375" customWidth="1"/>
    <col min="3" max="3" width="45.7109375" bestFit="1" customWidth="1"/>
    <col min="4" max="4" width="50.28515625" customWidth="1"/>
    <col min="5" max="6" width="6.7109375" customWidth="1"/>
    <col min="7" max="7" width="39.28515625" bestFit="1" customWidth="1"/>
    <col min="8" max="8" width="6.28515625" customWidth="1"/>
    <col min="9" max="9" width="47.42578125" customWidth="1"/>
    <col min="10" max="10" width="61.42578125" customWidth="1"/>
    <col min="11" max="11" width="6.5703125" bestFit="1" customWidth="1"/>
    <col min="12" max="12" width="9.5703125" customWidth="1"/>
    <col min="13" max="13" width="9" customWidth="1"/>
    <col min="14" max="14" width="7" bestFit="1" customWidth="1"/>
    <col min="15" max="15" width="12.140625" style="4" bestFit="1" customWidth="1"/>
    <col min="16" max="16" width="6.5703125" bestFit="1" customWidth="1"/>
    <col min="17" max="17" width="37.28515625" bestFit="1" customWidth="1"/>
  </cols>
  <sheetData>
    <row r="1" spans="1:17" s="5" customFormat="1" x14ac:dyDescent="0.25">
      <c r="A1" s="5" t="s">
        <v>66</v>
      </c>
      <c r="B1" s="5" t="s">
        <v>67</v>
      </c>
      <c r="C1" s="5" t="s">
        <v>2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72</v>
      </c>
      <c r="I1" s="5" t="s">
        <v>1</v>
      </c>
      <c r="J1" s="5" t="s">
        <v>73</v>
      </c>
      <c r="K1" s="5" t="s">
        <v>74</v>
      </c>
      <c r="L1" s="5" t="s">
        <v>75</v>
      </c>
      <c r="M1" s="5" t="s">
        <v>76</v>
      </c>
      <c r="N1" s="5" t="s">
        <v>77</v>
      </c>
      <c r="O1" s="6" t="s">
        <v>78</v>
      </c>
      <c r="P1" s="5" t="s">
        <v>79</v>
      </c>
      <c r="Q1" s="5" t="s">
        <v>0</v>
      </c>
    </row>
    <row r="2" spans="1:17" s="5" customFormat="1" x14ac:dyDescent="0.25">
      <c r="A2">
        <v>1</v>
      </c>
      <c r="B2">
        <v>5</v>
      </c>
      <c r="C2" t="s">
        <v>83</v>
      </c>
      <c r="D2" t="s">
        <v>39</v>
      </c>
      <c r="E2">
        <v>0</v>
      </c>
      <c r="F2">
        <v>1</v>
      </c>
      <c r="G2" t="s">
        <v>40</v>
      </c>
      <c r="H2">
        <v>1</v>
      </c>
      <c r="I2" t="str">
        <f>C2 &amp; " " &amp;L2</f>
        <v xml:space="preserve">DATE COLLECTED </v>
      </c>
      <c r="J2" t="s">
        <v>41</v>
      </c>
      <c r="K2"/>
      <c r="L2"/>
      <c r="M2"/>
      <c r="N2">
        <v>1</v>
      </c>
      <c r="O2" s="4">
        <v>45203</v>
      </c>
      <c r="P2">
        <v>0</v>
      </c>
      <c r="Q2" t="s">
        <v>157</v>
      </c>
    </row>
    <row r="3" spans="1:17" s="5" customFormat="1" x14ac:dyDescent="0.25">
      <c r="A3">
        <v>2</v>
      </c>
      <c r="B3">
        <v>5</v>
      </c>
      <c r="C3" t="s">
        <v>42</v>
      </c>
      <c r="D3" t="s">
        <v>39</v>
      </c>
      <c r="E3">
        <v>0</v>
      </c>
      <c r="F3">
        <v>1</v>
      </c>
      <c r="G3"/>
      <c r="H3">
        <v>2</v>
      </c>
      <c r="I3" t="str">
        <f t="shared" ref="I3:I30" si="0">C3 &amp; " " &amp;L3</f>
        <v xml:space="preserve">INVESTIGATION DATE </v>
      </c>
      <c r="J3" t="s">
        <v>41</v>
      </c>
      <c r="K3"/>
      <c r="L3"/>
      <c r="M3"/>
      <c r="N3">
        <v>1</v>
      </c>
      <c r="O3" s="4">
        <v>45203</v>
      </c>
      <c r="P3">
        <v>0</v>
      </c>
      <c r="Q3" t="s">
        <v>158</v>
      </c>
    </row>
    <row r="4" spans="1:17" s="5" customFormat="1" x14ac:dyDescent="0.25">
      <c r="A4">
        <v>3</v>
      </c>
      <c r="B4">
        <v>5</v>
      </c>
      <c r="C4" t="s">
        <v>47</v>
      </c>
      <c r="D4" t="s">
        <v>48</v>
      </c>
      <c r="E4">
        <v>0</v>
      </c>
      <c r="F4">
        <v>1</v>
      </c>
      <c r="G4" t="s">
        <v>129</v>
      </c>
      <c r="H4">
        <v>3</v>
      </c>
      <c r="I4" t="str">
        <f t="shared" si="0"/>
        <v xml:space="preserve">LABORATORY INVESTIGATION NUMBER </v>
      </c>
      <c r="J4" t="s">
        <v>50</v>
      </c>
      <c r="K4"/>
      <c r="L4"/>
      <c r="M4"/>
      <c r="N4">
        <v>1</v>
      </c>
      <c r="O4" s="4">
        <v>45203</v>
      </c>
      <c r="P4">
        <v>0</v>
      </c>
      <c r="Q4" t="s">
        <v>159</v>
      </c>
    </row>
    <row r="5" spans="1:17" s="5" customFormat="1" x14ac:dyDescent="0.25">
      <c r="A5">
        <v>4</v>
      </c>
      <c r="B5">
        <v>5</v>
      </c>
      <c r="C5" t="s">
        <v>53</v>
      </c>
      <c r="D5" t="s">
        <v>35</v>
      </c>
      <c r="E5">
        <v>0</v>
      </c>
      <c r="F5">
        <v>1</v>
      </c>
      <c r="G5" t="s">
        <v>54</v>
      </c>
      <c r="H5">
        <v>4</v>
      </c>
      <c r="I5" t="str">
        <f t="shared" si="0"/>
        <v xml:space="preserve">PURPOSE OF INVESTIGATION </v>
      </c>
      <c r="J5" t="s">
        <v>37</v>
      </c>
      <c r="K5"/>
      <c r="L5"/>
      <c r="M5"/>
      <c r="N5">
        <v>1</v>
      </c>
      <c r="O5" s="4">
        <v>45203</v>
      </c>
      <c r="P5">
        <v>0</v>
      </c>
      <c r="Q5" t="s">
        <v>160</v>
      </c>
    </row>
    <row r="6" spans="1:17" s="5" customFormat="1" x14ac:dyDescent="0.25">
      <c r="A6">
        <v>5</v>
      </c>
      <c r="B6">
        <v>5</v>
      </c>
      <c r="C6" t="s">
        <v>56</v>
      </c>
      <c r="D6" t="s">
        <v>57</v>
      </c>
      <c r="E6">
        <v>0</v>
      </c>
      <c r="F6">
        <v>1</v>
      </c>
      <c r="G6"/>
      <c r="H6">
        <v>5</v>
      </c>
      <c r="I6" t="str">
        <f t="shared" si="0"/>
        <v xml:space="preserve">REFERRING FACILITY </v>
      </c>
      <c r="J6" t="s">
        <v>58</v>
      </c>
      <c r="K6"/>
      <c r="L6"/>
      <c r="M6"/>
      <c r="N6">
        <v>1</v>
      </c>
      <c r="O6" s="4">
        <v>45203</v>
      </c>
      <c r="P6">
        <v>0</v>
      </c>
      <c r="Q6" t="s">
        <v>161</v>
      </c>
    </row>
    <row r="7" spans="1:17" s="5" customFormat="1" x14ac:dyDescent="0.25">
      <c r="A7">
        <v>6</v>
      </c>
      <c r="B7">
        <v>5</v>
      </c>
      <c r="C7" t="s">
        <v>59</v>
      </c>
      <c r="D7" t="s">
        <v>35</v>
      </c>
      <c r="E7">
        <v>0</v>
      </c>
      <c r="F7">
        <v>1</v>
      </c>
      <c r="G7" t="s">
        <v>60</v>
      </c>
      <c r="H7">
        <v>6</v>
      </c>
      <c r="I7" t="str">
        <f t="shared" si="0"/>
        <v xml:space="preserve">REQUESTING MEDICAL FACILITY </v>
      </c>
      <c r="J7" t="s">
        <v>37</v>
      </c>
      <c r="K7"/>
      <c r="L7"/>
      <c r="M7"/>
      <c r="N7">
        <v>1</v>
      </c>
      <c r="O7" s="4">
        <v>45203</v>
      </c>
      <c r="P7">
        <v>0</v>
      </c>
      <c r="Q7" t="s">
        <v>162</v>
      </c>
    </row>
    <row r="8" spans="1:17" s="5" customFormat="1" x14ac:dyDescent="0.25">
      <c r="A8">
        <v>7</v>
      </c>
      <c r="B8">
        <v>5</v>
      </c>
      <c r="C8" t="s">
        <v>80</v>
      </c>
      <c r="D8" t="s">
        <v>35</v>
      </c>
      <c r="E8">
        <v>0</v>
      </c>
      <c r="F8">
        <v>1</v>
      </c>
      <c r="G8" t="s">
        <v>84</v>
      </c>
      <c r="H8">
        <v>7</v>
      </c>
      <c r="I8" t="str">
        <f t="shared" si="0"/>
        <v xml:space="preserve">TUBERCULOSIS SAMPLE SOURCE </v>
      </c>
      <c r="J8" t="s">
        <v>37</v>
      </c>
      <c r="K8"/>
      <c r="L8"/>
      <c r="M8"/>
      <c r="N8">
        <v>1</v>
      </c>
      <c r="O8" s="4">
        <v>45203</v>
      </c>
      <c r="P8">
        <v>0</v>
      </c>
      <c r="Q8" t="s">
        <v>163</v>
      </c>
    </row>
    <row r="9" spans="1:17" s="5" customFormat="1" x14ac:dyDescent="0.25">
      <c r="A9">
        <v>8</v>
      </c>
      <c r="B9">
        <v>5</v>
      </c>
      <c r="C9" t="s">
        <v>38</v>
      </c>
      <c r="D9" t="s">
        <v>39</v>
      </c>
      <c r="E9">
        <v>0</v>
      </c>
      <c r="F9">
        <v>1</v>
      </c>
      <c r="G9"/>
      <c r="H9">
        <v>8</v>
      </c>
      <c r="I9" t="str">
        <f t="shared" si="0"/>
        <v xml:space="preserve">DATE OF REQUEST FOR LABORATORY INVESTIGATION </v>
      </c>
      <c r="J9" t="s">
        <v>41</v>
      </c>
      <c r="K9"/>
      <c r="L9"/>
      <c r="M9"/>
      <c r="N9">
        <v>1</v>
      </c>
      <c r="O9" s="4">
        <v>45203</v>
      </c>
      <c r="P9">
        <v>0</v>
      </c>
      <c r="Q9" t="s">
        <v>164</v>
      </c>
    </row>
    <row r="10" spans="1:17" s="5" customFormat="1" x14ac:dyDescent="0.25">
      <c r="A10">
        <v>9</v>
      </c>
      <c r="B10">
        <v>5</v>
      </c>
      <c r="C10" t="s">
        <v>43</v>
      </c>
      <c r="D10" t="s">
        <v>44</v>
      </c>
      <c r="E10">
        <v>0</v>
      </c>
      <c r="F10">
        <v>1</v>
      </c>
      <c r="G10" t="s">
        <v>45</v>
      </c>
      <c r="H10">
        <v>9</v>
      </c>
      <c r="I10" t="str">
        <f t="shared" si="0"/>
        <v xml:space="preserve">LAB SPECIALIST NAME </v>
      </c>
      <c r="J10" t="s">
        <v>46</v>
      </c>
      <c r="K10"/>
      <c r="L10"/>
      <c r="M10"/>
      <c r="N10">
        <v>1</v>
      </c>
      <c r="O10" s="4">
        <v>45203</v>
      </c>
      <c r="P10">
        <v>0</v>
      </c>
      <c r="Q10" t="s">
        <v>165</v>
      </c>
    </row>
    <row r="11" spans="1:17" s="5" customFormat="1" x14ac:dyDescent="0.25">
      <c r="A11">
        <v>10</v>
      </c>
      <c r="B11">
        <v>5</v>
      </c>
      <c r="C11" t="s">
        <v>63</v>
      </c>
      <c r="D11" t="s">
        <v>64</v>
      </c>
      <c r="E11">
        <v>0</v>
      </c>
      <c r="F11">
        <v>1</v>
      </c>
      <c r="G11" t="s">
        <v>65</v>
      </c>
      <c r="H11">
        <v>10</v>
      </c>
      <c r="I11" t="str">
        <f t="shared" ref="I11" si="1">C11 &amp; " " &amp;L11</f>
        <v xml:space="preserve">TUBERCULOSIS SPECIMEN COMMENTS </v>
      </c>
      <c r="J11" t="s">
        <v>46</v>
      </c>
      <c r="K11"/>
      <c r="L11"/>
      <c r="M11"/>
      <c r="N11">
        <v>1</v>
      </c>
      <c r="O11" s="4">
        <v>45203</v>
      </c>
      <c r="P11">
        <v>0</v>
      </c>
      <c r="Q11" t="s">
        <v>167</v>
      </c>
    </row>
    <row r="12" spans="1:17" s="5" customFormat="1" x14ac:dyDescent="0.25">
      <c r="A12">
        <v>11</v>
      </c>
      <c r="B12">
        <v>5</v>
      </c>
      <c r="C12" t="s">
        <v>55</v>
      </c>
      <c r="D12" t="s">
        <v>44</v>
      </c>
      <c r="E12">
        <v>0</v>
      </c>
      <c r="F12">
        <v>1</v>
      </c>
      <c r="G12" t="s">
        <v>45</v>
      </c>
      <c r="H12">
        <v>11</v>
      </c>
      <c r="I12" t="str">
        <f t="shared" si="0"/>
        <v xml:space="preserve">REFERRED BY </v>
      </c>
      <c r="J12" t="s">
        <v>46</v>
      </c>
      <c r="K12"/>
      <c r="L12"/>
      <c r="M12"/>
      <c r="N12">
        <v>1</v>
      </c>
      <c r="O12" s="4">
        <v>45203</v>
      </c>
      <c r="P12">
        <v>0</v>
      </c>
      <c r="Q12" t="s">
        <v>166</v>
      </c>
    </row>
    <row r="13" spans="1:17" s="5" customFormat="1" x14ac:dyDescent="0.25">
      <c r="A13">
        <v>12</v>
      </c>
      <c r="B13">
        <v>5</v>
      </c>
      <c r="C13" t="s">
        <v>399</v>
      </c>
      <c r="D13" t="s">
        <v>48</v>
      </c>
      <c r="E13">
        <v>0</v>
      </c>
      <c r="F13">
        <v>1</v>
      </c>
      <c r="G13" t="s">
        <v>49</v>
      </c>
      <c r="H13">
        <v>12</v>
      </c>
      <c r="I13" t="str">
        <f t="shared" si="0"/>
        <v xml:space="preserve">WEIGHT </v>
      </c>
      <c r="J13" t="s">
        <v>50</v>
      </c>
      <c r="K13"/>
      <c r="L13"/>
      <c r="M13"/>
      <c r="N13">
        <v>1</v>
      </c>
      <c r="O13" s="4">
        <v>45203</v>
      </c>
      <c r="P13">
        <v>0</v>
      </c>
      <c r="Q13" t="s">
        <v>402</v>
      </c>
    </row>
    <row r="14" spans="1:17" s="5" customFormat="1" x14ac:dyDescent="0.25">
      <c r="A14">
        <v>13</v>
      </c>
      <c r="B14">
        <v>5</v>
      </c>
      <c r="C14" s="9" t="s">
        <v>216</v>
      </c>
      <c r="D14" t="s">
        <v>48</v>
      </c>
      <c r="E14">
        <v>0</v>
      </c>
      <c r="F14">
        <v>1</v>
      </c>
      <c r="G14" t="s">
        <v>129</v>
      </c>
      <c r="H14">
        <v>13</v>
      </c>
      <c r="I14" t="str">
        <f t="shared" si="0"/>
        <v xml:space="preserve">TUBERCULOSIS SPECIMEN ID </v>
      </c>
      <c r="J14" t="s">
        <v>50</v>
      </c>
      <c r="K14"/>
      <c r="L14"/>
      <c r="M14"/>
      <c r="N14">
        <v>1</v>
      </c>
      <c r="O14" s="4">
        <v>45203</v>
      </c>
      <c r="P14">
        <v>0</v>
      </c>
      <c r="Q14" t="s">
        <v>403</v>
      </c>
    </row>
    <row r="15" spans="1:17" s="5" customFormat="1" x14ac:dyDescent="0.25">
      <c r="A15">
        <v>14</v>
      </c>
      <c r="B15">
        <v>5</v>
      </c>
      <c r="C15" t="s">
        <v>217</v>
      </c>
      <c r="D15" t="s">
        <v>48</v>
      </c>
      <c r="E15">
        <v>0</v>
      </c>
      <c r="F15">
        <v>1</v>
      </c>
      <c r="G15" t="s">
        <v>49</v>
      </c>
      <c r="H15">
        <v>14</v>
      </c>
      <c r="I15" t="str">
        <f t="shared" si="0"/>
        <v xml:space="preserve">MONTH OF TREATMENT </v>
      </c>
      <c r="J15" t="s">
        <v>50</v>
      </c>
      <c r="K15"/>
      <c r="L15"/>
      <c r="M15"/>
      <c r="N15">
        <v>1</v>
      </c>
      <c r="O15" s="4">
        <v>45203</v>
      </c>
      <c r="P15">
        <v>0</v>
      </c>
      <c r="Q15" t="s">
        <v>404</v>
      </c>
    </row>
    <row r="16" spans="1:17" s="5" customFormat="1" x14ac:dyDescent="0.25">
      <c r="A16">
        <v>15</v>
      </c>
      <c r="B16">
        <v>5</v>
      </c>
      <c r="C16" t="s">
        <v>218</v>
      </c>
      <c r="D16" t="s">
        <v>48</v>
      </c>
      <c r="E16">
        <v>0</v>
      </c>
      <c r="F16">
        <v>1</v>
      </c>
      <c r="G16" t="s">
        <v>49</v>
      </c>
      <c r="H16">
        <v>15</v>
      </c>
      <c r="I16" t="str">
        <f t="shared" si="0"/>
        <v xml:space="preserve">PATIENT PROGRAM ID </v>
      </c>
      <c r="J16" t="s">
        <v>50</v>
      </c>
      <c r="K16"/>
      <c r="L16"/>
      <c r="M16"/>
      <c r="N16">
        <v>1</v>
      </c>
      <c r="O16" s="4">
        <v>45203</v>
      </c>
      <c r="P16">
        <v>0</v>
      </c>
      <c r="Q16" t="s">
        <v>405</v>
      </c>
    </row>
    <row r="17" spans="1:17" s="5" customFormat="1" x14ac:dyDescent="0.25">
      <c r="A17">
        <v>16</v>
      </c>
      <c r="B17">
        <v>5</v>
      </c>
      <c r="C17" t="s">
        <v>82</v>
      </c>
      <c r="D17" t="s">
        <v>35</v>
      </c>
      <c r="E17">
        <v>0</v>
      </c>
      <c r="F17">
        <v>1</v>
      </c>
      <c r="G17" t="s">
        <v>150</v>
      </c>
      <c r="H17">
        <v>16</v>
      </c>
      <c r="I17" t="str">
        <f t="shared" si="0"/>
        <v xml:space="preserve">ISONIAZID RESISTANCE </v>
      </c>
      <c r="J17" t="s">
        <v>37</v>
      </c>
      <c r="K17"/>
      <c r="L17"/>
      <c r="M17"/>
      <c r="N17">
        <v>1</v>
      </c>
      <c r="O17" s="4">
        <v>45203</v>
      </c>
      <c r="P17">
        <v>0</v>
      </c>
      <c r="Q17" t="s">
        <v>406</v>
      </c>
    </row>
    <row r="18" spans="1:17" s="5" customFormat="1" x14ac:dyDescent="0.25">
      <c r="A18">
        <v>17</v>
      </c>
      <c r="B18">
        <v>5</v>
      </c>
      <c r="C18" t="s">
        <v>61</v>
      </c>
      <c r="D18" t="s">
        <v>35</v>
      </c>
      <c r="E18">
        <v>0</v>
      </c>
      <c r="F18">
        <v>1</v>
      </c>
      <c r="G18" t="s">
        <v>153</v>
      </c>
      <c r="H18">
        <v>17</v>
      </c>
      <c r="I18" t="str">
        <f t="shared" si="0"/>
        <v xml:space="preserve">RIFAMPICIN RESISTANCE </v>
      </c>
      <c r="J18" t="s">
        <v>37</v>
      </c>
      <c r="K18"/>
      <c r="L18"/>
      <c r="M18"/>
      <c r="N18">
        <v>1</v>
      </c>
      <c r="O18" s="4">
        <v>45203</v>
      </c>
      <c r="P18">
        <v>0</v>
      </c>
      <c r="Q18" t="s">
        <v>407</v>
      </c>
    </row>
    <row r="19" spans="1:17" s="5" customFormat="1" x14ac:dyDescent="0.25">
      <c r="A19">
        <v>18</v>
      </c>
      <c r="B19">
        <v>5</v>
      </c>
      <c r="C19" t="s">
        <v>400</v>
      </c>
      <c r="D19" t="s">
        <v>35</v>
      </c>
      <c r="E19">
        <v>0</v>
      </c>
      <c r="F19">
        <v>1</v>
      </c>
      <c r="G19" t="s">
        <v>401</v>
      </c>
      <c r="H19">
        <v>18</v>
      </c>
      <c r="I19" t="str">
        <f t="shared" si="0"/>
        <v xml:space="preserve">INJECTABLE RESISTANCE </v>
      </c>
      <c r="J19" t="s">
        <v>37</v>
      </c>
      <c r="K19"/>
      <c r="L19"/>
      <c r="M19"/>
      <c r="N19">
        <v>1</v>
      </c>
      <c r="O19" s="4">
        <v>45203</v>
      </c>
      <c r="P19">
        <v>0</v>
      </c>
      <c r="Q19" t="s">
        <v>408</v>
      </c>
    </row>
    <row r="20" spans="1:17" s="5" customFormat="1" x14ac:dyDescent="0.25">
      <c r="A20">
        <v>19</v>
      </c>
      <c r="B20">
        <v>5</v>
      </c>
      <c r="C20" t="s">
        <v>34</v>
      </c>
      <c r="D20" t="s">
        <v>35</v>
      </c>
      <c r="E20">
        <v>0</v>
      </c>
      <c r="F20">
        <v>1</v>
      </c>
      <c r="G20" t="s">
        <v>36</v>
      </c>
      <c r="H20">
        <v>19</v>
      </c>
      <c r="I20" t="str">
        <f t="shared" si="0"/>
        <v>APPEARANCE OF SPECIMEN XPERT</v>
      </c>
      <c r="J20" t="s">
        <v>37</v>
      </c>
      <c r="K20"/>
      <c r="L20" t="s">
        <v>4</v>
      </c>
      <c r="M20"/>
      <c r="N20">
        <v>1</v>
      </c>
      <c r="O20" s="4">
        <v>45203</v>
      </c>
      <c r="P20">
        <v>0</v>
      </c>
      <c r="Q20" t="s">
        <v>308</v>
      </c>
    </row>
    <row r="21" spans="1:17" s="5" customFormat="1" x14ac:dyDescent="0.25">
      <c r="A21">
        <v>20</v>
      </c>
      <c r="B21">
        <v>5</v>
      </c>
      <c r="C21" t="s">
        <v>51</v>
      </c>
      <c r="D21" t="s">
        <v>35</v>
      </c>
      <c r="E21">
        <v>0</v>
      </c>
      <c r="F21">
        <v>1</v>
      </c>
      <c r="G21" t="s">
        <v>52</v>
      </c>
      <c r="H21">
        <v>20</v>
      </c>
      <c r="I21" t="str">
        <f t="shared" si="0"/>
        <v>MTB RESULT XPERT</v>
      </c>
      <c r="J21" t="s">
        <v>37</v>
      </c>
      <c r="K21"/>
      <c r="L21" t="s">
        <v>4</v>
      </c>
      <c r="M21"/>
      <c r="N21">
        <v>1</v>
      </c>
      <c r="O21" s="4">
        <v>45203</v>
      </c>
      <c r="P21">
        <v>0</v>
      </c>
      <c r="Q21" t="s">
        <v>309</v>
      </c>
    </row>
    <row r="22" spans="1:17" s="5" customFormat="1" x14ac:dyDescent="0.25">
      <c r="A22">
        <v>21</v>
      </c>
      <c r="B22">
        <v>5</v>
      </c>
      <c r="C22" t="s">
        <v>85</v>
      </c>
      <c r="D22" t="s">
        <v>44</v>
      </c>
      <c r="E22">
        <v>0</v>
      </c>
      <c r="F22">
        <v>1</v>
      </c>
      <c r="G22" t="s">
        <v>45</v>
      </c>
      <c r="H22">
        <v>21</v>
      </c>
      <c r="I22" t="str">
        <f t="shared" si="0"/>
        <v>ERROR CODE XPERT</v>
      </c>
      <c r="J22" t="s">
        <v>46</v>
      </c>
      <c r="K22"/>
      <c r="L22" t="s">
        <v>4</v>
      </c>
      <c r="M22"/>
      <c r="N22">
        <v>1</v>
      </c>
      <c r="O22" s="4">
        <v>45203</v>
      </c>
      <c r="P22">
        <v>0</v>
      </c>
      <c r="Q22" t="s">
        <v>310</v>
      </c>
    </row>
    <row r="23" spans="1:17" s="5" customFormat="1" x14ac:dyDescent="0.25">
      <c r="A23">
        <v>22</v>
      </c>
      <c r="B23">
        <v>5</v>
      </c>
      <c r="C23" t="s">
        <v>86</v>
      </c>
      <c r="D23" t="s">
        <v>35</v>
      </c>
      <c r="E23">
        <v>0</v>
      </c>
      <c r="F23">
        <v>1</v>
      </c>
      <c r="G23" t="s">
        <v>87</v>
      </c>
      <c r="H23">
        <v>22</v>
      </c>
      <c r="I23" t="str">
        <f t="shared" si="0"/>
        <v>XPERT MTB BURDEN XPERT</v>
      </c>
      <c r="J23" t="s">
        <v>37</v>
      </c>
      <c r="K23"/>
      <c r="L23" t="s">
        <v>4</v>
      </c>
      <c r="M23"/>
      <c r="N23">
        <v>1</v>
      </c>
      <c r="O23" s="4">
        <v>45203</v>
      </c>
      <c r="P23">
        <v>0</v>
      </c>
      <c r="Q23" t="s">
        <v>311</v>
      </c>
    </row>
    <row r="24" spans="1:17" x14ac:dyDescent="0.25">
      <c r="A24">
        <v>23</v>
      </c>
      <c r="B24" s="1">
        <v>5</v>
      </c>
      <c r="C24" t="s">
        <v>170</v>
      </c>
      <c r="D24" t="s">
        <v>35</v>
      </c>
      <c r="E24">
        <v>0</v>
      </c>
      <c r="F24">
        <v>1</v>
      </c>
      <c r="G24" t="s">
        <v>88</v>
      </c>
      <c r="H24">
        <v>23</v>
      </c>
      <c r="I24" t="str">
        <f t="shared" si="0"/>
        <v>ISONIAZID RESULT XPERT</v>
      </c>
      <c r="J24" t="s">
        <v>37</v>
      </c>
      <c r="L24" s="1" t="s">
        <v>4</v>
      </c>
      <c r="N24">
        <v>1</v>
      </c>
      <c r="O24" s="4">
        <v>45203</v>
      </c>
      <c r="P24">
        <v>0</v>
      </c>
      <c r="Q24" t="s">
        <v>312</v>
      </c>
    </row>
    <row r="25" spans="1:17" x14ac:dyDescent="0.25">
      <c r="A25">
        <v>24</v>
      </c>
      <c r="B25" s="1">
        <v>5</v>
      </c>
      <c r="C25" t="s">
        <v>171</v>
      </c>
      <c r="D25" t="s">
        <v>35</v>
      </c>
      <c r="E25">
        <v>0</v>
      </c>
      <c r="F25">
        <v>1</v>
      </c>
      <c r="G25" t="s">
        <v>62</v>
      </c>
      <c r="H25">
        <v>24</v>
      </c>
      <c r="I25" t="str">
        <f t="shared" si="0"/>
        <v>RIFAMPICIN RESULT XPERT</v>
      </c>
      <c r="J25" t="s">
        <v>37</v>
      </c>
      <c r="L25" s="1" t="s">
        <v>4</v>
      </c>
      <c r="N25">
        <v>1</v>
      </c>
      <c r="O25" s="4">
        <v>45203</v>
      </c>
      <c r="P25">
        <v>0</v>
      </c>
      <c r="Q25" t="s">
        <v>313</v>
      </c>
    </row>
    <row r="26" spans="1:17" s="5" customFormat="1" x14ac:dyDescent="0.25">
      <c r="A26">
        <v>25</v>
      </c>
      <c r="B26">
        <v>5</v>
      </c>
      <c r="C26" t="s">
        <v>81</v>
      </c>
      <c r="D26" t="s">
        <v>39</v>
      </c>
      <c r="E26">
        <v>0</v>
      </c>
      <c r="F26">
        <v>1</v>
      </c>
      <c r="G26"/>
      <c r="H26">
        <v>25</v>
      </c>
      <c r="I26" t="str">
        <f t="shared" si="0"/>
        <v>TUBERCULOSIS TEST RESULT DATE XPERT</v>
      </c>
      <c r="J26" t="s">
        <v>41</v>
      </c>
      <c r="K26"/>
      <c r="L26" t="s">
        <v>4</v>
      </c>
      <c r="M26"/>
      <c r="N26">
        <v>1</v>
      </c>
      <c r="O26" s="4">
        <v>45203</v>
      </c>
      <c r="P26">
        <v>0</v>
      </c>
      <c r="Q26" t="s">
        <v>314</v>
      </c>
    </row>
    <row r="27" spans="1:17" s="5" customFormat="1" x14ac:dyDescent="0.25">
      <c r="A27">
        <v>26</v>
      </c>
      <c r="B27">
        <v>5</v>
      </c>
      <c r="C27" t="s">
        <v>279</v>
      </c>
      <c r="D27" t="s">
        <v>39</v>
      </c>
      <c r="E27">
        <v>0</v>
      </c>
      <c r="F27">
        <v>1</v>
      </c>
      <c r="G27"/>
      <c r="H27">
        <v>26</v>
      </c>
      <c r="I27" t="str">
        <f t="shared" si="0"/>
        <v>DATE OF SENDING TO CULTURE XPERT</v>
      </c>
      <c r="J27" t="s">
        <v>41</v>
      </c>
      <c r="K27"/>
      <c r="L27" t="s">
        <v>4</v>
      </c>
      <c r="M27"/>
      <c r="N27">
        <v>1</v>
      </c>
      <c r="O27" s="4">
        <v>45203</v>
      </c>
      <c r="P27">
        <v>0</v>
      </c>
      <c r="Q27" t="s">
        <v>315</v>
      </c>
    </row>
    <row r="28" spans="1:17" s="5" customFormat="1" x14ac:dyDescent="0.25">
      <c r="A28">
        <v>27</v>
      </c>
      <c r="B28">
        <v>5</v>
      </c>
      <c r="C28" t="s">
        <v>280</v>
      </c>
      <c r="D28" t="s">
        <v>39</v>
      </c>
      <c r="E28">
        <v>0</v>
      </c>
      <c r="F28">
        <v>1</v>
      </c>
      <c r="G28"/>
      <c r="H28">
        <v>27</v>
      </c>
      <c r="I28" t="str">
        <f t="shared" si="0"/>
        <v>DATE OF SENDING TO DST XPERT</v>
      </c>
      <c r="J28" t="s">
        <v>41</v>
      </c>
      <c r="K28"/>
      <c r="L28" t="s">
        <v>4</v>
      </c>
      <c r="M28"/>
      <c r="N28">
        <v>1</v>
      </c>
      <c r="O28" s="4">
        <v>45203</v>
      </c>
      <c r="P28">
        <v>0</v>
      </c>
      <c r="Q28" t="s">
        <v>316</v>
      </c>
    </row>
    <row r="29" spans="1:17" s="5" customFormat="1" x14ac:dyDescent="0.25">
      <c r="A29">
        <v>28</v>
      </c>
      <c r="B29">
        <v>5</v>
      </c>
      <c r="C29" t="s">
        <v>282</v>
      </c>
      <c r="D29" t="s">
        <v>35</v>
      </c>
      <c r="E29">
        <v>0</v>
      </c>
      <c r="F29">
        <v>1</v>
      </c>
      <c r="G29" t="s">
        <v>295</v>
      </c>
      <c r="H29">
        <v>28</v>
      </c>
      <c r="I29" t="str">
        <f t="shared" si="0"/>
        <v>SENT TO CULTURE XPERT</v>
      </c>
      <c r="J29" t="s">
        <v>37</v>
      </c>
      <c r="K29"/>
      <c r="L29" t="s">
        <v>4</v>
      </c>
      <c r="M29"/>
      <c r="N29">
        <v>1</v>
      </c>
      <c r="O29" s="4">
        <v>45203</v>
      </c>
      <c r="P29">
        <v>0</v>
      </c>
      <c r="Q29" t="s">
        <v>317</v>
      </c>
    </row>
    <row r="30" spans="1:17" s="5" customFormat="1" x14ac:dyDescent="0.25">
      <c r="A30">
        <v>29</v>
      </c>
      <c r="B30">
        <v>5</v>
      </c>
      <c r="C30" t="s">
        <v>281</v>
      </c>
      <c r="D30" t="s">
        <v>35</v>
      </c>
      <c r="E30">
        <v>0</v>
      </c>
      <c r="F30">
        <v>1</v>
      </c>
      <c r="G30" t="s">
        <v>294</v>
      </c>
      <c r="H30">
        <v>29</v>
      </c>
      <c r="I30" t="str">
        <f t="shared" si="0"/>
        <v>SENT TO DST XPERT</v>
      </c>
      <c r="J30" t="s">
        <v>37</v>
      </c>
      <c r="K30"/>
      <c r="L30" t="s">
        <v>4</v>
      </c>
      <c r="M30"/>
      <c r="N30">
        <v>1</v>
      </c>
      <c r="O30" s="4">
        <v>45203</v>
      </c>
      <c r="P30">
        <v>0</v>
      </c>
      <c r="Q30" t="s">
        <v>318</v>
      </c>
    </row>
    <row r="31" spans="1:17" s="5" customFormat="1" x14ac:dyDescent="0.25">
      <c r="A31">
        <v>30</v>
      </c>
      <c r="B31">
        <v>5</v>
      </c>
      <c r="C31" t="s">
        <v>34</v>
      </c>
      <c r="D31" t="s">
        <v>35</v>
      </c>
      <c r="E31">
        <v>0</v>
      </c>
      <c r="F31">
        <v>1</v>
      </c>
      <c r="G31" t="s">
        <v>36</v>
      </c>
      <c r="H31">
        <v>30</v>
      </c>
      <c r="I31" t="str">
        <f t="shared" ref="I31:I79" si="2">C31 &amp; " " &amp;L31</f>
        <v>APPEARANCE OF SPECIMEN HAIN</v>
      </c>
      <c r="J31" t="s">
        <v>37</v>
      </c>
      <c r="K31"/>
      <c r="L31" t="s">
        <v>3</v>
      </c>
      <c r="M31"/>
      <c r="N31">
        <v>1</v>
      </c>
      <c r="O31" s="4">
        <v>45203</v>
      </c>
      <c r="P31">
        <v>0</v>
      </c>
      <c r="Q31" t="s">
        <v>319</v>
      </c>
    </row>
    <row r="32" spans="1:17" s="5" customFormat="1" x14ac:dyDescent="0.25">
      <c r="A32">
        <v>31</v>
      </c>
      <c r="B32">
        <v>5</v>
      </c>
      <c r="C32" t="s">
        <v>51</v>
      </c>
      <c r="D32" t="s">
        <v>35</v>
      </c>
      <c r="E32">
        <v>0</v>
      </c>
      <c r="F32">
        <v>1</v>
      </c>
      <c r="G32" t="s">
        <v>52</v>
      </c>
      <c r="H32">
        <v>31</v>
      </c>
      <c r="I32" t="str">
        <f t="shared" si="2"/>
        <v>MTB RESULT HAIN</v>
      </c>
      <c r="J32" t="s">
        <v>37</v>
      </c>
      <c r="K32"/>
      <c r="L32" t="s">
        <v>3</v>
      </c>
      <c r="M32"/>
      <c r="N32">
        <v>1</v>
      </c>
      <c r="O32" s="4">
        <v>45203</v>
      </c>
      <c r="P32">
        <v>0</v>
      </c>
      <c r="Q32" t="s">
        <v>320</v>
      </c>
    </row>
    <row r="33" spans="1:17" s="5" customFormat="1" x14ac:dyDescent="0.25">
      <c r="A33">
        <v>32</v>
      </c>
      <c r="B33">
        <v>5</v>
      </c>
      <c r="C33" t="s">
        <v>86</v>
      </c>
      <c r="D33" t="s">
        <v>35</v>
      </c>
      <c r="E33">
        <v>0</v>
      </c>
      <c r="F33">
        <v>1</v>
      </c>
      <c r="G33" t="s">
        <v>87</v>
      </c>
      <c r="H33">
        <v>32</v>
      </c>
      <c r="I33" t="str">
        <f t="shared" si="2"/>
        <v>XPERT MTB BURDEN HAIN</v>
      </c>
      <c r="J33" t="s">
        <v>37</v>
      </c>
      <c r="K33"/>
      <c r="L33" t="s">
        <v>3</v>
      </c>
      <c r="M33"/>
      <c r="N33">
        <v>1</v>
      </c>
      <c r="O33" s="4">
        <v>45203</v>
      </c>
      <c r="P33">
        <v>0</v>
      </c>
      <c r="Q33" t="s">
        <v>321</v>
      </c>
    </row>
    <row r="34" spans="1:17" s="5" customFormat="1" x14ac:dyDescent="0.25">
      <c r="A34">
        <v>33</v>
      </c>
      <c r="B34" s="1">
        <v>5</v>
      </c>
      <c r="C34" t="s">
        <v>170</v>
      </c>
      <c r="D34" t="s">
        <v>35</v>
      </c>
      <c r="E34">
        <v>0</v>
      </c>
      <c r="F34">
        <v>1</v>
      </c>
      <c r="G34" t="s">
        <v>88</v>
      </c>
      <c r="H34">
        <v>33</v>
      </c>
      <c r="I34" t="str">
        <f t="shared" si="2"/>
        <v>ISONIAZID RESULT HAIN</v>
      </c>
      <c r="J34" t="s">
        <v>37</v>
      </c>
      <c r="K34"/>
      <c r="L34" t="s">
        <v>3</v>
      </c>
      <c r="M34"/>
      <c r="N34">
        <v>1</v>
      </c>
      <c r="O34" s="4">
        <v>45203</v>
      </c>
      <c r="P34">
        <v>0</v>
      </c>
      <c r="Q34" t="s">
        <v>322</v>
      </c>
    </row>
    <row r="35" spans="1:17" s="5" customFormat="1" x14ac:dyDescent="0.25">
      <c r="A35">
        <v>34</v>
      </c>
      <c r="B35" s="1">
        <v>5</v>
      </c>
      <c r="C35" t="s">
        <v>171</v>
      </c>
      <c r="D35" t="s">
        <v>35</v>
      </c>
      <c r="E35">
        <v>0</v>
      </c>
      <c r="F35">
        <v>1</v>
      </c>
      <c r="G35" t="s">
        <v>62</v>
      </c>
      <c r="H35">
        <v>34</v>
      </c>
      <c r="I35" t="str">
        <f t="shared" si="2"/>
        <v>RIFAMPICIN RESULT HAIN</v>
      </c>
      <c r="J35" t="s">
        <v>37</v>
      </c>
      <c r="K35"/>
      <c r="L35" s="1" t="s">
        <v>3</v>
      </c>
      <c r="M35"/>
      <c r="N35">
        <v>1</v>
      </c>
      <c r="O35" s="4">
        <v>45203</v>
      </c>
      <c r="P35">
        <v>0</v>
      </c>
      <c r="Q35" t="s">
        <v>323</v>
      </c>
    </row>
    <row r="36" spans="1:17" x14ac:dyDescent="0.25">
      <c r="A36">
        <v>35</v>
      </c>
      <c r="B36">
        <v>5</v>
      </c>
      <c r="C36" t="s">
        <v>82</v>
      </c>
      <c r="D36" t="s">
        <v>35</v>
      </c>
      <c r="E36">
        <v>0</v>
      </c>
      <c r="F36">
        <v>1</v>
      </c>
      <c r="G36" t="s">
        <v>150</v>
      </c>
      <c r="H36">
        <v>35</v>
      </c>
      <c r="I36" t="str">
        <f t="shared" si="2"/>
        <v>ISONIAZID RESISTANCE HAIN</v>
      </c>
      <c r="J36" t="s">
        <v>37</v>
      </c>
      <c r="L36" s="1" t="s">
        <v>3</v>
      </c>
      <c r="N36">
        <v>1</v>
      </c>
      <c r="O36" s="4">
        <v>45203</v>
      </c>
      <c r="P36">
        <v>0</v>
      </c>
      <c r="Q36" t="s">
        <v>324</v>
      </c>
    </row>
    <row r="37" spans="1:17" x14ac:dyDescent="0.25">
      <c r="A37">
        <v>36</v>
      </c>
      <c r="B37">
        <v>5</v>
      </c>
      <c r="C37" t="s">
        <v>61</v>
      </c>
      <c r="D37" t="s">
        <v>35</v>
      </c>
      <c r="E37">
        <v>0</v>
      </c>
      <c r="F37">
        <v>1</v>
      </c>
      <c r="G37" t="s">
        <v>153</v>
      </c>
      <c r="H37">
        <v>36</v>
      </c>
      <c r="I37" t="str">
        <f t="shared" si="2"/>
        <v>RIFAMPICIN RESISTANCE HAIN</v>
      </c>
      <c r="J37" t="s">
        <v>37</v>
      </c>
      <c r="L37" t="s">
        <v>3</v>
      </c>
      <c r="N37">
        <v>1</v>
      </c>
      <c r="O37" s="4">
        <v>45203</v>
      </c>
      <c r="P37">
        <v>0</v>
      </c>
      <c r="Q37" t="s">
        <v>325</v>
      </c>
    </row>
    <row r="38" spans="1:17" x14ac:dyDescent="0.25">
      <c r="A38">
        <v>37</v>
      </c>
      <c r="B38">
        <v>5</v>
      </c>
      <c r="C38" t="s">
        <v>282</v>
      </c>
      <c r="D38" t="s">
        <v>35</v>
      </c>
      <c r="E38">
        <v>0</v>
      </c>
      <c r="F38">
        <v>1</v>
      </c>
      <c r="G38" t="s">
        <v>295</v>
      </c>
      <c r="H38">
        <v>37</v>
      </c>
      <c r="I38" t="str">
        <f t="shared" si="2"/>
        <v>SENT TO CULTURE HAIN</v>
      </c>
      <c r="J38" t="s">
        <v>37</v>
      </c>
      <c r="L38" t="s">
        <v>3</v>
      </c>
      <c r="N38">
        <v>1</v>
      </c>
      <c r="O38" s="4">
        <v>45203</v>
      </c>
      <c r="P38">
        <v>0</v>
      </c>
      <c r="Q38" t="s">
        <v>326</v>
      </c>
    </row>
    <row r="39" spans="1:17" x14ac:dyDescent="0.25">
      <c r="A39">
        <v>38</v>
      </c>
      <c r="B39">
        <v>5</v>
      </c>
      <c r="C39" t="s">
        <v>281</v>
      </c>
      <c r="D39" t="s">
        <v>35</v>
      </c>
      <c r="E39">
        <v>0</v>
      </c>
      <c r="F39">
        <v>1</v>
      </c>
      <c r="G39" t="s">
        <v>294</v>
      </c>
      <c r="H39">
        <v>38</v>
      </c>
      <c r="I39" t="str">
        <f t="shared" si="2"/>
        <v>SENT TO DST HAIN</v>
      </c>
      <c r="J39" t="s">
        <v>37</v>
      </c>
      <c r="L39" t="s">
        <v>3</v>
      </c>
      <c r="N39">
        <v>1</v>
      </c>
      <c r="O39" s="4">
        <v>45203</v>
      </c>
      <c r="P39">
        <v>0</v>
      </c>
      <c r="Q39" t="s">
        <v>327</v>
      </c>
    </row>
    <row r="40" spans="1:17" x14ac:dyDescent="0.25">
      <c r="A40">
        <v>39</v>
      </c>
      <c r="B40">
        <v>5</v>
      </c>
      <c r="C40" t="s">
        <v>81</v>
      </c>
      <c r="D40" t="s">
        <v>39</v>
      </c>
      <c r="E40">
        <v>0</v>
      </c>
      <c r="F40">
        <v>1</v>
      </c>
      <c r="H40">
        <v>39</v>
      </c>
      <c r="I40" t="str">
        <f t="shared" si="2"/>
        <v>TUBERCULOSIS TEST RESULT DATE HAIN</v>
      </c>
      <c r="J40" t="s">
        <v>41</v>
      </c>
      <c r="L40" t="s">
        <v>3</v>
      </c>
      <c r="N40">
        <v>1</v>
      </c>
      <c r="O40" s="4">
        <v>45203</v>
      </c>
      <c r="P40">
        <v>0</v>
      </c>
      <c r="Q40" t="s">
        <v>328</v>
      </c>
    </row>
    <row r="41" spans="1:17" x14ac:dyDescent="0.25">
      <c r="A41">
        <v>40</v>
      </c>
      <c r="B41">
        <v>5</v>
      </c>
      <c r="C41" t="s">
        <v>279</v>
      </c>
      <c r="D41" t="s">
        <v>39</v>
      </c>
      <c r="E41">
        <v>0</v>
      </c>
      <c r="F41">
        <v>1</v>
      </c>
      <c r="H41">
        <v>40</v>
      </c>
      <c r="I41" t="str">
        <f t="shared" si="2"/>
        <v>DATE OF SENDING TO CULTURE HAIN</v>
      </c>
      <c r="J41" t="s">
        <v>41</v>
      </c>
      <c r="L41" t="s">
        <v>3</v>
      </c>
      <c r="N41">
        <v>1</v>
      </c>
      <c r="O41" s="4">
        <v>45203</v>
      </c>
      <c r="P41">
        <v>0</v>
      </c>
      <c r="Q41" t="s">
        <v>329</v>
      </c>
    </row>
    <row r="42" spans="1:17" x14ac:dyDescent="0.25">
      <c r="A42">
        <v>41</v>
      </c>
      <c r="B42">
        <v>5</v>
      </c>
      <c r="C42" t="s">
        <v>280</v>
      </c>
      <c r="D42" t="s">
        <v>39</v>
      </c>
      <c r="E42">
        <v>0</v>
      </c>
      <c r="F42">
        <v>1</v>
      </c>
      <c r="H42">
        <v>41</v>
      </c>
      <c r="I42" t="str">
        <f t="shared" si="2"/>
        <v>DATE OF SENDING TO DST HAIN</v>
      </c>
      <c r="J42" t="s">
        <v>41</v>
      </c>
      <c r="L42" t="s">
        <v>3</v>
      </c>
      <c r="N42">
        <v>1</v>
      </c>
      <c r="O42" s="4">
        <v>45203</v>
      </c>
      <c r="P42">
        <v>0</v>
      </c>
      <c r="Q42" t="s">
        <v>330</v>
      </c>
    </row>
    <row r="43" spans="1:17" x14ac:dyDescent="0.25">
      <c r="A43">
        <v>42</v>
      </c>
      <c r="B43">
        <v>5</v>
      </c>
      <c r="C43" t="s">
        <v>85</v>
      </c>
      <c r="D43" t="s">
        <v>44</v>
      </c>
      <c r="E43">
        <v>0</v>
      </c>
      <c r="F43">
        <v>1</v>
      </c>
      <c r="G43" t="s">
        <v>45</v>
      </c>
      <c r="H43">
        <v>42</v>
      </c>
      <c r="I43" t="str">
        <f t="shared" si="2"/>
        <v>ERROR CODE HAIN</v>
      </c>
      <c r="J43" t="s">
        <v>46</v>
      </c>
      <c r="L43" t="s">
        <v>3</v>
      </c>
      <c r="N43">
        <v>1</v>
      </c>
      <c r="O43" s="4">
        <v>45203</v>
      </c>
      <c r="P43">
        <v>0</v>
      </c>
      <c r="Q43" t="s">
        <v>331</v>
      </c>
    </row>
    <row r="44" spans="1:17" x14ac:dyDescent="0.25">
      <c r="A44">
        <v>43</v>
      </c>
      <c r="B44">
        <v>5</v>
      </c>
      <c r="C44" t="s">
        <v>34</v>
      </c>
      <c r="D44" t="s">
        <v>35</v>
      </c>
      <c r="E44">
        <v>0</v>
      </c>
      <c r="F44">
        <v>1</v>
      </c>
      <c r="G44" t="s">
        <v>36</v>
      </c>
      <c r="H44">
        <v>43</v>
      </c>
      <c r="I44" t="str">
        <f t="shared" si="2"/>
        <v>APPEARANCE OF SPECIMEN HAIN2</v>
      </c>
      <c r="J44" t="s">
        <v>37</v>
      </c>
      <c r="L44" s="1" t="s">
        <v>16</v>
      </c>
      <c r="N44">
        <v>1</v>
      </c>
      <c r="O44" s="4">
        <v>45203</v>
      </c>
      <c r="P44">
        <v>0</v>
      </c>
      <c r="Q44" t="s">
        <v>332</v>
      </c>
    </row>
    <row r="45" spans="1:17" x14ac:dyDescent="0.25">
      <c r="A45">
        <v>44</v>
      </c>
      <c r="B45">
        <v>5</v>
      </c>
      <c r="C45" t="s">
        <v>51</v>
      </c>
      <c r="D45" t="s">
        <v>35</v>
      </c>
      <c r="E45">
        <v>0</v>
      </c>
      <c r="F45">
        <v>1</v>
      </c>
      <c r="G45" t="s">
        <v>52</v>
      </c>
      <c r="H45">
        <v>44</v>
      </c>
      <c r="I45" t="str">
        <f t="shared" si="2"/>
        <v>MTB RESULT HAIN2</v>
      </c>
      <c r="J45" t="s">
        <v>37</v>
      </c>
      <c r="L45" s="1" t="s">
        <v>16</v>
      </c>
      <c r="N45">
        <v>1</v>
      </c>
      <c r="O45" s="4">
        <v>45203</v>
      </c>
      <c r="P45">
        <v>0</v>
      </c>
      <c r="Q45" t="s">
        <v>333</v>
      </c>
    </row>
    <row r="46" spans="1:17" x14ac:dyDescent="0.25">
      <c r="A46">
        <v>45</v>
      </c>
      <c r="B46">
        <v>5</v>
      </c>
      <c r="C46" t="s">
        <v>86</v>
      </c>
      <c r="D46" t="s">
        <v>35</v>
      </c>
      <c r="E46">
        <v>0</v>
      </c>
      <c r="F46">
        <v>1</v>
      </c>
      <c r="G46" t="s">
        <v>87</v>
      </c>
      <c r="H46">
        <v>45</v>
      </c>
      <c r="I46" t="str">
        <f t="shared" si="2"/>
        <v>XPERT MTB BURDEN HAIN2</v>
      </c>
      <c r="J46" t="s">
        <v>37</v>
      </c>
      <c r="L46" s="1" t="s">
        <v>16</v>
      </c>
      <c r="N46">
        <v>1</v>
      </c>
      <c r="O46" s="4">
        <v>45203</v>
      </c>
      <c r="P46">
        <v>0</v>
      </c>
      <c r="Q46" t="s">
        <v>334</v>
      </c>
    </row>
    <row r="47" spans="1:17" x14ac:dyDescent="0.25">
      <c r="A47">
        <v>46</v>
      </c>
      <c r="B47" s="1">
        <v>5</v>
      </c>
      <c r="C47" t="s">
        <v>170</v>
      </c>
      <c r="D47" t="s">
        <v>35</v>
      </c>
      <c r="E47">
        <v>0</v>
      </c>
      <c r="F47">
        <v>1</v>
      </c>
      <c r="G47" t="s">
        <v>88</v>
      </c>
      <c r="H47">
        <v>46</v>
      </c>
      <c r="I47" t="str">
        <f t="shared" si="2"/>
        <v>ISONIAZID RESULT HAIN2</v>
      </c>
      <c r="J47" t="s">
        <v>37</v>
      </c>
      <c r="L47" s="1" t="s">
        <v>16</v>
      </c>
      <c r="N47">
        <v>1</v>
      </c>
      <c r="O47" s="4">
        <v>45203</v>
      </c>
      <c r="P47">
        <v>0</v>
      </c>
      <c r="Q47" t="s">
        <v>335</v>
      </c>
    </row>
    <row r="48" spans="1:17" x14ac:dyDescent="0.25">
      <c r="A48">
        <v>47</v>
      </c>
      <c r="B48" s="1">
        <v>5</v>
      </c>
      <c r="C48" t="s">
        <v>171</v>
      </c>
      <c r="D48" t="s">
        <v>35</v>
      </c>
      <c r="E48">
        <v>0</v>
      </c>
      <c r="F48">
        <v>1</v>
      </c>
      <c r="G48" t="s">
        <v>62</v>
      </c>
      <c r="H48">
        <v>47</v>
      </c>
      <c r="I48" t="str">
        <f t="shared" si="2"/>
        <v>RIFAMPICIN RESULT HAIN2</v>
      </c>
      <c r="J48" t="s">
        <v>37</v>
      </c>
      <c r="L48" s="1" t="s">
        <v>16</v>
      </c>
      <c r="N48">
        <v>1</v>
      </c>
      <c r="O48" s="4">
        <v>45203</v>
      </c>
      <c r="P48">
        <v>0</v>
      </c>
      <c r="Q48" t="s">
        <v>336</v>
      </c>
    </row>
    <row r="49" spans="1:17" x14ac:dyDescent="0.25">
      <c r="A49">
        <v>48</v>
      </c>
      <c r="B49">
        <v>5</v>
      </c>
      <c r="C49" s="8" t="s">
        <v>305</v>
      </c>
      <c r="D49" t="s">
        <v>35</v>
      </c>
      <c r="E49">
        <v>0</v>
      </c>
      <c r="F49">
        <v>1</v>
      </c>
      <c r="G49" t="s">
        <v>287</v>
      </c>
      <c r="H49">
        <v>48</v>
      </c>
      <c r="I49" t="str">
        <f t="shared" si="2"/>
        <v>ETHAMBUTOL RESULT HAIN2</v>
      </c>
      <c r="J49" t="s">
        <v>37</v>
      </c>
      <c r="L49" s="1" t="s">
        <v>16</v>
      </c>
      <c r="N49">
        <v>1</v>
      </c>
      <c r="O49" s="4">
        <v>45203</v>
      </c>
      <c r="P49">
        <v>0</v>
      </c>
      <c r="Q49" t="s">
        <v>337</v>
      </c>
    </row>
    <row r="50" spans="1:17" x14ac:dyDescent="0.25">
      <c r="A50">
        <v>49</v>
      </c>
      <c r="B50">
        <v>5</v>
      </c>
      <c r="C50" s="8" t="s">
        <v>306</v>
      </c>
      <c r="D50" t="s">
        <v>35</v>
      </c>
      <c r="E50">
        <v>0</v>
      </c>
      <c r="F50">
        <v>1</v>
      </c>
      <c r="G50" t="s">
        <v>288</v>
      </c>
      <c r="H50">
        <v>49</v>
      </c>
      <c r="I50" t="str">
        <f t="shared" si="2"/>
        <v>КМ/АМ/СМ RESULT HAIN2</v>
      </c>
      <c r="J50" t="s">
        <v>37</v>
      </c>
      <c r="L50" s="1" t="s">
        <v>16</v>
      </c>
      <c r="N50">
        <v>1</v>
      </c>
      <c r="O50" s="4">
        <v>45203</v>
      </c>
      <c r="P50">
        <v>0</v>
      </c>
      <c r="Q50" t="s">
        <v>338</v>
      </c>
    </row>
    <row r="51" spans="1:17" x14ac:dyDescent="0.25">
      <c r="A51">
        <v>50</v>
      </c>
      <c r="B51">
        <v>5</v>
      </c>
      <c r="C51" s="8" t="s">
        <v>307</v>
      </c>
      <c r="D51" t="s">
        <v>35</v>
      </c>
      <c r="E51">
        <v>0</v>
      </c>
      <c r="F51">
        <v>1</v>
      </c>
      <c r="G51" t="s">
        <v>289</v>
      </c>
      <c r="H51">
        <v>50</v>
      </c>
      <c r="I51" t="str">
        <f t="shared" si="2"/>
        <v>MOX/OFX RESULT HAIN2</v>
      </c>
      <c r="J51" t="s">
        <v>37</v>
      </c>
      <c r="L51" s="1" t="s">
        <v>16</v>
      </c>
      <c r="N51">
        <v>1</v>
      </c>
      <c r="O51" s="4">
        <v>45203</v>
      </c>
      <c r="P51">
        <v>0</v>
      </c>
      <c r="Q51" t="s">
        <v>339</v>
      </c>
    </row>
    <row r="52" spans="1:17" x14ac:dyDescent="0.25">
      <c r="A52">
        <v>51</v>
      </c>
      <c r="B52">
        <v>5</v>
      </c>
      <c r="C52" t="s">
        <v>282</v>
      </c>
      <c r="D52" t="s">
        <v>35</v>
      </c>
      <c r="E52">
        <v>0</v>
      </c>
      <c r="F52">
        <v>1</v>
      </c>
      <c r="G52" t="s">
        <v>295</v>
      </c>
      <c r="H52">
        <v>51</v>
      </c>
      <c r="I52" t="str">
        <f t="shared" si="2"/>
        <v>SENT TO CULTURE HAIN2</v>
      </c>
      <c r="J52" t="s">
        <v>37</v>
      </c>
      <c r="L52" s="1" t="s">
        <v>16</v>
      </c>
      <c r="N52">
        <v>1</v>
      </c>
      <c r="O52" s="4">
        <v>45203</v>
      </c>
      <c r="P52">
        <v>0</v>
      </c>
      <c r="Q52" t="s">
        <v>340</v>
      </c>
    </row>
    <row r="53" spans="1:17" x14ac:dyDescent="0.25">
      <c r="A53">
        <v>52</v>
      </c>
      <c r="B53">
        <v>5</v>
      </c>
      <c r="C53" s="8" t="s">
        <v>81</v>
      </c>
      <c r="D53" t="s">
        <v>39</v>
      </c>
      <c r="E53">
        <v>0</v>
      </c>
      <c r="F53">
        <v>1</v>
      </c>
      <c r="H53">
        <v>52</v>
      </c>
      <c r="I53" t="str">
        <f t="shared" si="2"/>
        <v>TUBERCULOSIS TEST RESULT DATE HAIN2</v>
      </c>
      <c r="J53" t="s">
        <v>41</v>
      </c>
      <c r="L53" s="1" t="s">
        <v>16</v>
      </c>
      <c r="N53">
        <v>1</v>
      </c>
      <c r="O53" s="4">
        <v>45203</v>
      </c>
      <c r="P53">
        <v>0</v>
      </c>
      <c r="Q53" t="s">
        <v>341</v>
      </c>
    </row>
    <row r="54" spans="1:17" x14ac:dyDescent="0.25">
      <c r="A54">
        <v>53</v>
      </c>
      <c r="B54">
        <v>5</v>
      </c>
      <c r="C54" t="s">
        <v>279</v>
      </c>
      <c r="D54" t="s">
        <v>39</v>
      </c>
      <c r="E54">
        <v>0</v>
      </c>
      <c r="F54">
        <v>1</v>
      </c>
      <c r="H54">
        <v>53</v>
      </c>
      <c r="I54" t="str">
        <f t="shared" si="2"/>
        <v>DATE OF SENDING TO CULTURE HAIN2</v>
      </c>
      <c r="J54" t="s">
        <v>41</v>
      </c>
      <c r="L54" s="1" t="s">
        <v>16</v>
      </c>
      <c r="N54">
        <v>1</v>
      </c>
      <c r="O54" s="4">
        <v>45203</v>
      </c>
      <c r="P54">
        <v>0</v>
      </c>
      <c r="Q54" t="s">
        <v>342</v>
      </c>
    </row>
    <row r="55" spans="1:17" x14ac:dyDescent="0.25">
      <c r="A55">
        <v>54</v>
      </c>
      <c r="B55">
        <v>5</v>
      </c>
      <c r="C55" t="s">
        <v>280</v>
      </c>
      <c r="D55" t="s">
        <v>39</v>
      </c>
      <c r="E55">
        <v>0</v>
      </c>
      <c r="F55">
        <v>1</v>
      </c>
      <c r="H55">
        <v>54</v>
      </c>
      <c r="I55" t="str">
        <f t="shared" si="2"/>
        <v>DATE OF SENDING TO DST HAIN2</v>
      </c>
      <c r="J55" t="s">
        <v>41</v>
      </c>
      <c r="L55" s="1" t="s">
        <v>16</v>
      </c>
      <c r="N55">
        <v>1</v>
      </c>
      <c r="O55" s="4">
        <v>45203</v>
      </c>
      <c r="P55">
        <v>0</v>
      </c>
      <c r="Q55" t="s">
        <v>343</v>
      </c>
    </row>
    <row r="56" spans="1:17" x14ac:dyDescent="0.25">
      <c r="A56">
        <v>55</v>
      </c>
      <c r="B56">
        <v>5</v>
      </c>
      <c r="C56" t="s">
        <v>85</v>
      </c>
      <c r="D56" t="s">
        <v>44</v>
      </c>
      <c r="E56">
        <v>0</v>
      </c>
      <c r="F56">
        <v>1</v>
      </c>
      <c r="G56" t="s">
        <v>45</v>
      </c>
      <c r="H56">
        <v>55</v>
      </c>
      <c r="I56" t="str">
        <f t="shared" si="2"/>
        <v>ERROR CODE HAIN2</v>
      </c>
      <c r="J56" t="s">
        <v>46</v>
      </c>
      <c r="L56" s="1" t="s">
        <v>16</v>
      </c>
      <c r="N56">
        <v>1</v>
      </c>
      <c r="O56" s="4">
        <v>45203</v>
      </c>
      <c r="P56">
        <v>0</v>
      </c>
      <c r="Q56" t="s">
        <v>344</v>
      </c>
    </row>
    <row r="57" spans="1:17" x14ac:dyDescent="0.25">
      <c r="A57">
        <v>56</v>
      </c>
      <c r="B57">
        <v>5</v>
      </c>
      <c r="C57" t="s">
        <v>91</v>
      </c>
      <c r="D57" t="s">
        <v>35</v>
      </c>
      <c r="E57">
        <v>0</v>
      </c>
      <c r="F57">
        <v>1</v>
      </c>
      <c r="G57" t="s">
        <v>94</v>
      </c>
      <c r="H57">
        <v>56</v>
      </c>
      <c r="I57" t="str">
        <f t="shared" si="2"/>
        <v>TUBERCULOSIS CULTURE METHOD CULTURE</v>
      </c>
      <c r="J57" t="s">
        <v>37</v>
      </c>
      <c r="L57" s="1" t="s">
        <v>6</v>
      </c>
      <c r="N57">
        <v>1</v>
      </c>
      <c r="O57" s="4">
        <v>45203</v>
      </c>
      <c r="P57">
        <v>0</v>
      </c>
      <c r="Q57" t="s">
        <v>349</v>
      </c>
    </row>
    <row r="58" spans="1:17" x14ac:dyDescent="0.25">
      <c r="A58">
        <v>57</v>
      </c>
      <c r="B58">
        <v>5</v>
      </c>
      <c r="C58" t="s">
        <v>92</v>
      </c>
      <c r="D58" t="s">
        <v>35</v>
      </c>
      <c r="E58">
        <v>0</v>
      </c>
      <c r="F58">
        <v>1</v>
      </c>
      <c r="G58" t="s">
        <v>95</v>
      </c>
      <c r="H58">
        <v>57</v>
      </c>
      <c r="I58" t="str">
        <f t="shared" si="2"/>
        <v>TYPE OF ORGANISM CULTURE</v>
      </c>
      <c r="J58" t="s">
        <v>37</v>
      </c>
      <c r="L58" s="1" t="s">
        <v>6</v>
      </c>
      <c r="N58">
        <v>1</v>
      </c>
      <c r="O58" s="4">
        <v>45203</v>
      </c>
      <c r="P58">
        <v>0</v>
      </c>
      <c r="Q58" t="s">
        <v>350</v>
      </c>
    </row>
    <row r="59" spans="1:17" x14ac:dyDescent="0.25">
      <c r="A59">
        <v>58</v>
      </c>
      <c r="B59">
        <v>5</v>
      </c>
      <c r="C59" t="s">
        <v>93</v>
      </c>
      <c r="D59" t="s">
        <v>44</v>
      </c>
      <c r="E59">
        <v>0</v>
      </c>
      <c r="F59">
        <v>1</v>
      </c>
      <c r="G59" t="s">
        <v>45</v>
      </c>
      <c r="H59">
        <v>58</v>
      </c>
      <c r="I59" t="str">
        <f>C59 &amp; " " &amp;L59</f>
        <v>TYPE OF ORGANISM NON-CODED CULTURE</v>
      </c>
      <c r="J59" t="s">
        <v>46</v>
      </c>
      <c r="L59" s="1" t="s">
        <v>6</v>
      </c>
      <c r="N59">
        <v>1</v>
      </c>
      <c r="O59" s="4">
        <v>45203</v>
      </c>
      <c r="P59">
        <v>0</v>
      </c>
      <c r="Q59" t="s">
        <v>173</v>
      </c>
    </row>
    <row r="60" spans="1:17" x14ac:dyDescent="0.25">
      <c r="A60">
        <v>59</v>
      </c>
      <c r="B60">
        <v>5</v>
      </c>
      <c r="C60" t="s">
        <v>275</v>
      </c>
      <c r="D60" t="s">
        <v>35</v>
      </c>
      <c r="E60">
        <v>0</v>
      </c>
      <c r="F60">
        <v>1</v>
      </c>
      <c r="G60" t="s">
        <v>291</v>
      </c>
      <c r="H60">
        <v>59</v>
      </c>
      <c r="I60" t="str">
        <f t="shared" si="2"/>
        <v>MGIT CULTURE RESULT CULTURE</v>
      </c>
      <c r="J60" t="s">
        <v>37</v>
      </c>
      <c r="L60" s="1" t="s">
        <v>6</v>
      </c>
      <c r="N60">
        <v>1</v>
      </c>
      <c r="O60" s="4">
        <v>45203</v>
      </c>
      <c r="P60">
        <v>0</v>
      </c>
      <c r="Q60" t="s">
        <v>168</v>
      </c>
    </row>
    <row r="61" spans="1:17" x14ac:dyDescent="0.25">
      <c r="A61">
        <v>60</v>
      </c>
      <c r="B61">
        <v>5</v>
      </c>
      <c r="C61" t="s">
        <v>274</v>
      </c>
      <c r="D61" t="s">
        <v>35</v>
      </c>
      <c r="E61">
        <v>0</v>
      </c>
      <c r="F61">
        <v>1</v>
      </c>
      <c r="G61" t="s">
        <v>290</v>
      </c>
      <c r="H61">
        <v>60</v>
      </c>
      <c r="I61" t="str">
        <f t="shared" si="2"/>
        <v>MT ID TEST CULTURE</v>
      </c>
      <c r="J61" t="s">
        <v>37</v>
      </c>
      <c r="L61" s="1" t="s">
        <v>6</v>
      </c>
      <c r="N61">
        <v>1</v>
      </c>
      <c r="O61" s="4">
        <v>45203</v>
      </c>
      <c r="P61">
        <v>0</v>
      </c>
      <c r="Q61" t="s">
        <v>169</v>
      </c>
    </row>
    <row r="62" spans="1:17" x14ac:dyDescent="0.25">
      <c r="A62">
        <v>61</v>
      </c>
      <c r="B62">
        <v>5</v>
      </c>
      <c r="C62" t="s">
        <v>278</v>
      </c>
      <c r="D62" t="s">
        <v>35</v>
      </c>
      <c r="E62">
        <v>0</v>
      </c>
      <c r="F62">
        <v>1</v>
      </c>
      <c r="G62" t="s">
        <v>293</v>
      </c>
      <c r="H62">
        <v>61</v>
      </c>
      <c r="I62" t="str">
        <f t="shared" si="2"/>
        <v>PLACE OF CULTURE CULTURE</v>
      </c>
      <c r="J62" t="s">
        <v>37</v>
      </c>
      <c r="L62" s="1" t="s">
        <v>6</v>
      </c>
      <c r="N62">
        <v>1</v>
      </c>
      <c r="O62" s="4">
        <v>45203</v>
      </c>
      <c r="P62">
        <v>0</v>
      </c>
      <c r="Q62" t="s">
        <v>303</v>
      </c>
    </row>
    <row r="63" spans="1:17" x14ac:dyDescent="0.25">
      <c r="A63">
        <v>62</v>
      </c>
      <c r="B63">
        <v>5</v>
      </c>
      <c r="C63" t="s">
        <v>270</v>
      </c>
      <c r="D63" t="s">
        <v>35</v>
      </c>
      <c r="E63">
        <v>0</v>
      </c>
      <c r="F63">
        <v>1</v>
      </c>
      <c r="G63" t="s">
        <v>285</v>
      </c>
      <c r="H63">
        <v>62</v>
      </c>
      <c r="I63" t="str">
        <f t="shared" si="2"/>
        <v>TUBERCULOSIS CULTURE RESULT CULTURE</v>
      </c>
      <c r="J63" t="s">
        <v>37</v>
      </c>
      <c r="L63" s="1" t="s">
        <v>6</v>
      </c>
      <c r="N63">
        <v>1</v>
      </c>
      <c r="O63" s="4">
        <v>45203</v>
      </c>
      <c r="P63">
        <v>0</v>
      </c>
      <c r="Q63" t="s">
        <v>304</v>
      </c>
    </row>
    <row r="64" spans="1:17" x14ac:dyDescent="0.25">
      <c r="A64">
        <v>63</v>
      </c>
      <c r="B64">
        <v>5</v>
      </c>
      <c r="C64" t="s">
        <v>276</v>
      </c>
      <c r="D64" t="s">
        <v>35</v>
      </c>
      <c r="E64">
        <v>0</v>
      </c>
      <c r="F64">
        <v>1</v>
      </c>
      <c r="G64" t="s">
        <v>292</v>
      </c>
      <c r="H64">
        <v>63</v>
      </c>
      <c r="I64" t="str">
        <f t="shared" si="2"/>
        <v>TYPE OF CULTURE REPORTED CULTURE</v>
      </c>
      <c r="J64" t="s">
        <v>37</v>
      </c>
      <c r="L64" s="1" t="s">
        <v>6</v>
      </c>
      <c r="N64">
        <v>1</v>
      </c>
      <c r="O64" s="4">
        <v>45203</v>
      </c>
      <c r="P64">
        <v>0</v>
      </c>
      <c r="Q64" t="s">
        <v>345</v>
      </c>
    </row>
    <row r="65" spans="1:17" x14ac:dyDescent="0.25">
      <c r="A65">
        <v>64</v>
      </c>
      <c r="B65">
        <v>5</v>
      </c>
      <c r="C65" t="s">
        <v>272</v>
      </c>
      <c r="D65" t="s">
        <v>39</v>
      </c>
      <c r="E65">
        <v>0</v>
      </c>
      <c r="F65">
        <v>1</v>
      </c>
      <c r="H65">
        <v>64</v>
      </c>
      <c r="I65" t="str">
        <f t="shared" si="2"/>
        <v>DATE OF INOCULATION OF CULTURE CULTURE</v>
      </c>
      <c r="J65" t="s">
        <v>41</v>
      </c>
      <c r="L65" s="1" t="s">
        <v>6</v>
      </c>
      <c r="N65">
        <v>1</v>
      </c>
      <c r="O65" s="4">
        <v>45203</v>
      </c>
      <c r="P65">
        <v>0</v>
      </c>
      <c r="Q65" t="s">
        <v>346</v>
      </c>
    </row>
    <row r="66" spans="1:17" x14ac:dyDescent="0.25">
      <c r="A66">
        <v>65</v>
      </c>
      <c r="B66">
        <v>5</v>
      </c>
      <c r="C66" t="s">
        <v>277</v>
      </c>
      <c r="D66" t="s">
        <v>39</v>
      </c>
      <c r="E66">
        <v>0</v>
      </c>
      <c r="F66">
        <v>1</v>
      </c>
      <c r="H66">
        <v>65</v>
      </c>
      <c r="I66" t="str">
        <f t="shared" si="2"/>
        <v>DATE OF REPORTING CULTURE RESULT CULTURE</v>
      </c>
      <c r="J66" t="s">
        <v>41</v>
      </c>
      <c r="L66" s="1" t="s">
        <v>6</v>
      </c>
      <c r="N66">
        <v>1</v>
      </c>
      <c r="O66" s="4">
        <v>45203</v>
      </c>
      <c r="P66">
        <v>0</v>
      </c>
      <c r="Q66" t="s">
        <v>347</v>
      </c>
    </row>
    <row r="67" spans="1:17" x14ac:dyDescent="0.25">
      <c r="A67">
        <v>66</v>
      </c>
      <c r="B67">
        <v>5</v>
      </c>
      <c r="C67" t="s">
        <v>81</v>
      </c>
      <c r="D67" t="s">
        <v>39</v>
      </c>
      <c r="E67">
        <v>0</v>
      </c>
      <c r="F67">
        <v>1</v>
      </c>
      <c r="H67">
        <v>66</v>
      </c>
      <c r="I67" t="str">
        <f t="shared" si="2"/>
        <v>TUBERCULOSIS TEST RESULT DATE CULTURE</v>
      </c>
      <c r="J67" t="s">
        <v>41</v>
      </c>
      <c r="L67" s="1" t="s">
        <v>6</v>
      </c>
      <c r="N67">
        <v>1</v>
      </c>
      <c r="O67" s="4">
        <v>45203</v>
      </c>
      <c r="P67">
        <v>0</v>
      </c>
      <c r="Q67" t="s">
        <v>348</v>
      </c>
    </row>
    <row r="68" spans="1:17" x14ac:dyDescent="0.25">
      <c r="A68">
        <v>67</v>
      </c>
      <c r="B68">
        <v>5</v>
      </c>
      <c r="C68" t="s">
        <v>273</v>
      </c>
      <c r="D68" t="s">
        <v>48</v>
      </c>
      <c r="E68">
        <v>0</v>
      </c>
      <c r="F68">
        <v>1</v>
      </c>
      <c r="G68" t="s">
        <v>49</v>
      </c>
      <c r="H68">
        <v>67</v>
      </c>
      <c r="I68" t="str">
        <f t="shared" si="2"/>
        <v>LABORATORY NO CULTURE</v>
      </c>
      <c r="J68" t="s">
        <v>41</v>
      </c>
      <c r="L68" s="1" t="s">
        <v>6</v>
      </c>
      <c r="N68">
        <v>1</v>
      </c>
      <c r="O68" s="4">
        <v>45203</v>
      </c>
      <c r="P68">
        <v>0</v>
      </c>
      <c r="Q68" t="s">
        <v>172</v>
      </c>
    </row>
    <row r="69" spans="1:17" x14ac:dyDescent="0.25">
      <c r="A69">
        <v>68</v>
      </c>
      <c r="B69">
        <v>5</v>
      </c>
      <c r="C69" t="s">
        <v>89</v>
      </c>
      <c r="D69" t="s">
        <v>48</v>
      </c>
      <c r="E69">
        <v>0</v>
      </c>
      <c r="F69">
        <v>1</v>
      </c>
      <c r="G69" t="s">
        <v>49</v>
      </c>
      <c r="H69">
        <v>68</v>
      </c>
      <c r="I69" t="str">
        <f t="shared" si="2"/>
        <v>COLONIES CULTURE</v>
      </c>
      <c r="J69" t="s">
        <v>50</v>
      </c>
      <c r="L69" s="1" t="s">
        <v>6</v>
      </c>
      <c r="N69">
        <v>1</v>
      </c>
      <c r="O69" s="4">
        <v>45203</v>
      </c>
      <c r="P69">
        <v>0</v>
      </c>
      <c r="Q69" t="s">
        <v>174</v>
      </c>
    </row>
    <row r="70" spans="1:17" x14ac:dyDescent="0.25">
      <c r="A70">
        <v>69</v>
      </c>
      <c r="B70">
        <v>5</v>
      </c>
      <c r="C70" t="s">
        <v>90</v>
      </c>
      <c r="D70" t="s">
        <v>48</v>
      </c>
      <c r="E70">
        <v>0</v>
      </c>
      <c r="F70">
        <v>1</v>
      </c>
      <c r="G70" t="s">
        <v>49</v>
      </c>
      <c r="H70">
        <v>69</v>
      </c>
      <c r="I70" t="str">
        <f t="shared" si="2"/>
        <v>DAYS TO POSITIVITY CULTURE</v>
      </c>
      <c r="J70" t="s">
        <v>50</v>
      </c>
      <c r="L70" s="1" t="s">
        <v>6</v>
      </c>
      <c r="N70">
        <v>1</v>
      </c>
      <c r="O70" s="4">
        <v>45203</v>
      </c>
      <c r="P70">
        <v>0</v>
      </c>
      <c r="Q70" t="s">
        <v>175</v>
      </c>
    </row>
    <row r="71" spans="1:17" x14ac:dyDescent="0.25">
      <c r="A71">
        <v>70</v>
      </c>
      <c r="B71">
        <v>5</v>
      </c>
      <c r="C71" t="s">
        <v>34</v>
      </c>
      <c r="D71" t="s">
        <v>35</v>
      </c>
      <c r="E71">
        <v>0</v>
      </c>
      <c r="F71">
        <v>1</v>
      </c>
      <c r="G71" t="s">
        <v>36</v>
      </c>
      <c r="H71">
        <v>70</v>
      </c>
      <c r="I71" t="str">
        <f t="shared" si="2"/>
        <v>APPEARANCE OF SPECIMEN SMEAR</v>
      </c>
      <c r="J71" t="s">
        <v>37</v>
      </c>
      <c r="L71" s="1" t="s">
        <v>5</v>
      </c>
      <c r="N71">
        <v>1</v>
      </c>
      <c r="O71" s="4">
        <v>45203</v>
      </c>
      <c r="P71">
        <v>0</v>
      </c>
      <c r="Q71" t="s">
        <v>179</v>
      </c>
    </row>
    <row r="72" spans="1:17" x14ac:dyDescent="0.25">
      <c r="A72">
        <v>71</v>
      </c>
      <c r="B72">
        <v>5</v>
      </c>
      <c r="C72" t="s">
        <v>283</v>
      </c>
      <c r="D72" t="s">
        <v>35</v>
      </c>
      <c r="E72">
        <v>0</v>
      </c>
      <c r="F72">
        <v>1</v>
      </c>
      <c r="G72" t="s">
        <v>284</v>
      </c>
      <c r="H72">
        <v>71</v>
      </c>
      <c r="I72" t="str">
        <f t="shared" si="2"/>
        <v>TUBERCULOSIS SMEAR RESULT SMEAR</v>
      </c>
      <c r="J72" t="s">
        <v>37</v>
      </c>
      <c r="L72" s="1" t="s">
        <v>5</v>
      </c>
      <c r="N72">
        <v>1</v>
      </c>
      <c r="O72" s="4">
        <v>45203</v>
      </c>
      <c r="P72">
        <v>0</v>
      </c>
      <c r="Q72" t="s">
        <v>176</v>
      </c>
    </row>
    <row r="73" spans="1:17" x14ac:dyDescent="0.25">
      <c r="A73">
        <v>72</v>
      </c>
      <c r="B73">
        <v>5</v>
      </c>
      <c r="C73" t="s">
        <v>96</v>
      </c>
      <c r="D73" t="s">
        <v>97</v>
      </c>
      <c r="E73">
        <v>0</v>
      </c>
      <c r="F73">
        <v>1</v>
      </c>
      <c r="H73">
        <v>72</v>
      </c>
      <c r="I73" t="str">
        <f t="shared" si="2"/>
        <v>BACILLI SMEAR</v>
      </c>
      <c r="J73" t="s">
        <v>100</v>
      </c>
      <c r="L73" s="1" t="s">
        <v>5</v>
      </c>
      <c r="N73">
        <v>1</v>
      </c>
      <c r="O73" s="4">
        <v>45203</v>
      </c>
      <c r="P73">
        <v>0</v>
      </c>
      <c r="Q73" t="s">
        <v>177</v>
      </c>
    </row>
    <row r="74" spans="1:17" x14ac:dyDescent="0.25">
      <c r="A74">
        <v>73</v>
      </c>
      <c r="B74">
        <v>5</v>
      </c>
      <c r="C74" t="s">
        <v>81</v>
      </c>
      <c r="D74" t="s">
        <v>39</v>
      </c>
      <c r="E74">
        <v>0</v>
      </c>
      <c r="F74">
        <v>1</v>
      </c>
      <c r="H74">
        <v>73</v>
      </c>
      <c r="I74" t="str">
        <f t="shared" si="2"/>
        <v>TUBERCULOSIS TEST RESULT DATE SMEAR</v>
      </c>
      <c r="J74" t="s">
        <v>41</v>
      </c>
      <c r="L74" s="1" t="s">
        <v>5</v>
      </c>
      <c r="N74">
        <v>1</v>
      </c>
      <c r="O74" s="4">
        <v>45203</v>
      </c>
      <c r="P74">
        <v>0</v>
      </c>
      <c r="Q74" t="s">
        <v>178</v>
      </c>
    </row>
    <row r="75" spans="1:17" x14ac:dyDescent="0.25">
      <c r="A75">
        <v>74</v>
      </c>
      <c r="B75">
        <v>5</v>
      </c>
      <c r="C75" t="s">
        <v>271</v>
      </c>
      <c r="D75" t="s">
        <v>35</v>
      </c>
      <c r="E75">
        <v>0</v>
      </c>
      <c r="F75">
        <v>1</v>
      </c>
      <c r="G75" t="s">
        <v>286</v>
      </c>
      <c r="H75">
        <v>74</v>
      </c>
      <c r="I75" t="str">
        <f t="shared" si="2"/>
        <v>MICROSCOPY RESULT SMEAR</v>
      </c>
      <c r="J75" t="s">
        <v>37</v>
      </c>
      <c r="L75" s="1" t="s">
        <v>5</v>
      </c>
      <c r="N75">
        <v>1</v>
      </c>
      <c r="O75" s="4">
        <v>45203</v>
      </c>
      <c r="P75">
        <v>0</v>
      </c>
      <c r="Q75" t="s">
        <v>180</v>
      </c>
    </row>
    <row r="76" spans="1:17" x14ac:dyDescent="0.25">
      <c r="A76">
        <v>75</v>
      </c>
      <c r="B76">
        <v>5</v>
      </c>
      <c r="C76" t="s">
        <v>361</v>
      </c>
      <c r="D76" t="s">
        <v>39</v>
      </c>
      <c r="E76">
        <v>0</v>
      </c>
      <c r="F76">
        <v>1</v>
      </c>
      <c r="H76">
        <v>75</v>
      </c>
      <c r="I76" t="str">
        <f t="shared" si="2"/>
        <v xml:space="preserve">START DATE </v>
      </c>
      <c r="J76" t="s">
        <v>41</v>
      </c>
      <c r="L76" s="1"/>
      <c r="N76">
        <v>1</v>
      </c>
      <c r="O76" s="4">
        <v>45203</v>
      </c>
      <c r="P76">
        <v>0</v>
      </c>
      <c r="Q76" t="s">
        <v>365</v>
      </c>
    </row>
    <row r="77" spans="1:17" x14ac:dyDescent="0.25">
      <c r="A77">
        <v>76</v>
      </c>
      <c r="B77">
        <v>5</v>
      </c>
      <c r="C77" t="s">
        <v>362</v>
      </c>
      <c r="D77" t="s">
        <v>39</v>
      </c>
      <c r="E77">
        <v>0</v>
      </c>
      <c r="F77">
        <v>1</v>
      </c>
      <c r="H77">
        <v>76</v>
      </c>
      <c r="I77" t="str">
        <f t="shared" si="2"/>
        <v xml:space="preserve">TUBERCULOSIS TEST DATE RECEIVED </v>
      </c>
      <c r="J77" t="s">
        <v>41</v>
      </c>
      <c r="L77" s="1"/>
      <c r="N77">
        <v>1</v>
      </c>
      <c r="O77" s="4">
        <v>45203</v>
      </c>
      <c r="P77">
        <v>0</v>
      </c>
      <c r="Q77" t="s">
        <v>366</v>
      </c>
    </row>
    <row r="78" spans="1:17" x14ac:dyDescent="0.25">
      <c r="A78">
        <v>77</v>
      </c>
      <c r="B78">
        <v>5</v>
      </c>
      <c r="C78" t="s">
        <v>363</v>
      </c>
      <c r="D78" t="s">
        <v>39</v>
      </c>
      <c r="E78">
        <v>0</v>
      </c>
      <c r="F78">
        <v>1</v>
      </c>
      <c r="H78">
        <v>77</v>
      </c>
      <c r="I78" t="str">
        <f t="shared" si="2"/>
        <v xml:space="preserve">TUBERCULOSIS TEST DATE ORDERED </v>
      </c>
      <c r="J78" t="s">
        <v>41</v>
      </c>
      <c r="L78" s="1"/>
      <c r="N78">
        <v>1</v>
      </c>
      <c r="O78" s="4">
        <v>45203</v>
      </c>
      <c r="P78">
        <v>0</v>
      </c>
      <c r="Q78" t="s">
        <v>367</v>
      </c>
    </row>
    <row r="79" spans="1:17" x14ac:dyDescent="0.25">
      <c r="A79">
        <v>78</v>
      </c>
      <c r="B79">
        <v>5</v>
      </c>
      <c r="C79" t="s">
        <v>364</v>
      </c>
      <c r="D79" t="s">
        <v>35</v>
      </c>
      <c r="E79">
        <v>0</v>
      </c>
      <c r="F79">
        <v>1</v>
      </c>
      <c r="G79" t="s">
        <v>410</v>
      </c>
      <c r="H79">
        <v>78</v>
      </c>
      <c r="I79" t="str">
        <f t="shared" si="2"/>
        <v xml:space="preserve">SUSCEPTIBLE TO TUBERCULOSIS DRUG </v>
      </c>
      <c r="J79" t="s">
        <v>37</v>
      </c>
      <c r="L79" s="1"/>
      <c r="N79">
        <v>1</v>
      </c>
      <c r="O79" s="4">
        <v>45203</v>
      </c>
      <c r="P79">
        <v>0</v>
      </c>
      <c r="Q79" t="s">
        <v>368</v>
      </c>
    </row>
    <row r="80" spans="1:17" x14ac:dyDescent="0.25">
      <c r="A80">
        <v>79</v>
      </c>
      <c r="B80">
        <v>5</v>
      </c>
      <c r="C80" t="s">
        <v>98</v>
      </c>
      <c r="D80" t="s">
        <v>99</v>
      </c>
      <c r="E80">
        <v>0</v>
      </c>
      <c r="F80">
        <v>1</v>
      </c>
      <c r="H80">
        <v>79</v>
      </c>
      <c r="I80" t="str">
        <f t="shared" ref="I80:I81" si="3">C80 &amp; " " &amp;L80</f>
        <v xml:space="preserve">DIRECT/INDIRECT </v>
      </c>
      <c r="J80" t="s">
        <v>100</v>
      </c>
      <c r="L80" s="1"/>
      <c r="N80">
        <v>1</v>
      </c>
      <c r="O80" s="4">
        <v>45203</v>
      </c>
      <c r="P80">
        <v>0</v>
      </c>
      <c r="Q80" t="s">
        <v>369</v>
      </c>
    </row>
    <row r="81" spans="1:17" x14ac:dyDescent="0.25">
      <c r="A81">
        <v>80</v>
      </c>
      <c r="B81">
        <v>5</v>
      </c>
      <c r="C81" s="7" t="s">
        <v>127</v>
      </c>
      <c r="D81" t="s">
        <v>35</v>
      </c>
      <c r="E81">
        <v>0</v>
      </c>
      <c r="F81">
        <v>1</v>
      </c>
      <c r="G81" s="7" t="s">
        <v>128</v>
      </c>
      <c r="H81">
        <v>80</v>
      </c>
      <c r="I81" t="str">
        <f t="shared" si="3"/>
        <v>TUBERCULOSIS DRUG SENSITIVITY TEST METHOD DST</v>
      </c>
      <c r="J81" t="s">
        <v>37</v>
      </c>
      <c r="L81" s="1" t="s">
        <v>409</v>
      </c>
      <c r="N81">
        <v>1</v>
      </c>
      <c r="O81" s="4">
        <v>45203</v>
      </c>
      <c r="P81">
        <v>0</v>
      </c>
      <c r="Q81" t="s">
        <v>370</v>
      </c>
    </row>
    <row r="82" spans="1:17" x14ac:dyDescent="0.25">
      <c r="A82">
        <v>81</v>
      </c>
      <c r="B82">
        <v>5</v>
      </c>
      <c r="C82" t="s">
        <v>124</v>
      </c>
      <c r="D82" t="s">
        <v>35</v>
      </c>
      <c r="E82">
        <v>0</v>
      </c>
      <c r="F82">
        <v>1</v>
      </c>
      <c r="G82" s="7" t="s">
        <v>112</v>
      </c>
      <c r="H82">
        <v>81</v>
      </c>
      <c r="I82" t="str">
        <f t="shared" ref="I82:I109" si="4">C82 &amp; " " &amp;L82</f>
        <v>AMIKACIN RESISTANCE DST</v>
      </c>
      <c r="J82" t="s">
        <v>37</v>
      </c>
      <c r="L82" s="1" t="s">
        <v>409</v>
      </c>
      <c r="N82">
        <v>1</v>
      </c>
      <c r="O82" s="4">
        <v>45203</v>
      </c>
      <c r="P82">
        <v>0</v>
      </c>
      <c r="Q82" t="s">
        <v>371</v>
      </c>
    </row>
    <row r="83" spans="1:17" x14ac:dyDescent="0.25">
      <c r="A83">
        <v>82</v>
      </c>
      <c r="B83">
        <v>5</v>
      </c>
      <c r="C83" t="s">
        <v>119</v>
      </c>
      <c r="D83" t="s">
        <v>35</v>
      </c>
      <c r="E83">
        <v>0</v>
      </c>
      <c r="F83">
        <v>1</v>
      </c>
      <c r="G83" s="7" t="s">
        <v>107</v>
      </c>
      <c r="H83">
        <v>82</v>
      </c>
      <c r="I83" t="str">
        <f t="shared" si="4"/>
        <v>BEDAQUILINE RESISTANCE DST</v>
      </c>
      <c r="J83" t="s">
        <v>37</v>
      </c>
      <c r="L83" s="1" t="s">
        <v>409</v>
      </c>
      <c r="N83">
        <v>1</v>
      </c>
      <c r="O83" s="4">
        <v>45203</v>
      </c>
      <c r="P83">
        <v>0</v>
      </c>
      <c r="Q83" t="s">
        <v>372</v>
      </c>
    </row>
    <row r="84" spans="1:17" x14ac:dyDescent="0.25">
      <c r="A84">
        <v>83</v>
      </c>
      <c r="B84">
        <v>5</v>
      </c>
      <c r="C84" t="s">
        <v>122</v>
      </c>
      <c r="D84" t="s">
        <v>35</v>
      </c>
      <c r="E84">
        <v>0</v>
      </c>
      <c r="F84">
        <v>1</v>
      </c>
      <c r="G84" s="7" t="s">
        <v>110</v>
      </c>
      <c r="H84">
        <v>83</v>
      </c>
      <c r="I84" t="str">
        <f t="shared" si="4"/>
        <v>CAPREOMYCIN RESISTANCE DST</v>
      </c>
      <c r="J84" t="s">
        <v>37</v>
      </c>
      <c r="L84" s="1" t="s">
        <v>409</v>
      </c>
      <c r="N84">
        <v>1</v>
      </c>
      <c r="O84" s="4">
        <v>45203</v>
      </c>
      <c r="P84">
        <v>0</v>
      </c>
      <c r="Q84" t="s">
        <v>373</v>
      </c>
    </row>
    <row r="85" spans="1:17" x14ac:dyDescent="0.25">
      <c r="A85">
        <v>84</v>
      </c>
      <c r="B85">
        <v>5</v>
      </c>
      <c r="C85" t="s">
        <v>130</v>
      </c>
      <c r="D85" t="s">
        <v>35</v>
      </c>
      <c r="E85">
        <v>0</v>
      </c>
      <c r="F85">
        <v>1</v>
      </c>
      <c r="G85" t="s">
        <v>131</v>
      </c>
      <c r="H85">
        <v>84</v>
      </c>
      <c r="I85" t="str">
        <f t="shared" si="4"/>
        <v>CIPROFLOXACIN RESISTANCE DST</v>
      </c>
      <c r="J85" t="s">
        <v>37</v>
      </c>
      <c r="L85" s="1" t="s">
        <v>409</v>
      </c>
      <c r="N85">
        <v>1</v>
      </c>
      <c r="O85" s="4">
        <v>45203</v>
      </c>
      <c r="P85">
        <v>0</v>
      </c>
      <c r="Q85" t="s">
        <v>374</v>
      </c>
    </row>
    <row r="86" spans="1:17" x14ac:dyDescent="0.25">
      <c r="A86">
        <v>85</v>
      </c>
      <c r="B86">
        <v>5</v>
      </c>
      <c r="C86" t="s">
        <v>132</v>
      </c>
      <c r="D86" t="s">
        <v>35</v>
      </c>
      <c r="E86">
        <v>0</v>
      </c>
      <c r="F86">
        <v>1</v>
      </c>
      <c r="G86" t="s">
        <v>133</v>
      </c>
      <c r="H86">
        <v>85</v>
      </c>
      <c r="I86" t="str">
        <f t="shared" si="4"/>
        <v>CLARITHROMYCIN RESISTANCE DST</v>
      </c>
      <c r="J86" t="s">
        <v>37</v>
      </c>
      <c r="L86" s="1" t="s">
        <v>409</v>
      </c>
      <c r="N86">
        <v>1</v>
      </c>
      <c r="O86" s="4">
        <v>45203</v>
      </c>
      <c r="P86">
        <v>0</v>
      </c>
      <c r="Q86" t="s">
        <v>375</v>
      </c>
    </row>
    <row r="87" spans="1:17" x14ac:dyDescent="0.25">
      <c r="A87">
        <v>86</v>
      </c>
      <c r="B87">
        <v>5</v>
      </c>
      <c r="C87" t="s">
        <v>118</v>
      </c>
      <c r="D87" t="s">
        <v>35</v>
      </c>
      <c r="E87">
        <v>0</v>
      </c>
      <c r="F87">
        <v>1</v>
      </c>
      <c r="G87" s="7" t="s">
        <v>106</v>
      </c>
      <c r="H87">
        <v>86</v>
      </c>
      <c r="I87" t="str">
        <f t="shared" si="4"/>
        <v>CLOFAZAMINE RESISTANCE DST</v>
      </c>
      <c r="J87" t="s">
        <v>37</v>
      </c>
      <c r="L87" s="1" t="s">
        <v>409</v>
      </c>
      <c r="N87">
        <v>1</v>
      </c>
      <c r="O87" s="4">
        <v>45203</v>
      </c>
      <c r="P87">
        <v>0</v>
      </c>
      <c r="Q87" t="s">
        <v>376</v>
      </c>
    </row>
    <row r="88" spans="1:17" x14ac:dyDescent="0.25">
      <c r="A88">
        <v>87</v>
      </c>
      <c r="B88">
        <v>5</v>
      </c>
      <c r="C88" t="s">
        <v>134</v>
      </c>
      <c r="D88" t="s">
        <v>35</v>
      </c>
      <c r="E88">
        <v>0</v>
      </c>
      <c r="F88">
        <v>1</v>
      </c>
      <c r="G88" t="s">
        <v>135</v>
      </c>
      <c r="H88">
        <v>87</v>
      </c>
      <c r="I88" t="str">
        <f t="shared" si="4"/>
        <v>CYCLOSERINE RESISTANCE DST</v>
      </c>
      <c r="J88" t="s">
        <v>37</v>
      </c>
      <c r="L88" s="1" t="s">
        <v>409</v>
      </c>
      <c r="N88">
        <v>1</v>
      </c>
      <c r="O88" s="4">
        <v>45203</v>
      </c>
      <c r="P88">
        <v>0</v>
      </c>
      <c r="Q88" t="s">
        <v>377</v>
      </c>
    </row>
    <row r="89" spans="1:17" x14ac:dyDescent="0.25">
      <c r="A89">
        <v>88</v>
      </c>
      <c r="B89">
        <v>5</v>
      </c>
      <c r="C89" t="s">
        <v>120</v>
      </c>
      <c r="D89" t="s">
        <v>35</v>
      </c>
      <c r="E89">
        <v>0</v>
      </c>
      <c r="F89">
        <v>1</v>
      </c>
      <c r="G89" t="s">
        <v>108</v>
      </c>
      <c r="H89">
        <v>88</v>
      </c>
      <c r="I89" t="str">
        <f t="shared" si="4"/>
        <v>DELAMANID RESISTANCE DST</v>
      </c>
      <c r="J89" t="s">
        <v>37</v>
      </c>
      <c r="L89" s="1" t="s">
        <v>409</v>
      </c>
      <c r="N89">
        <v>1</v>
      </c>
      <c r="O89" s="4">
        <v>45203</v>
      </c>
      <c r="P89">
        <v>0</v>
      </c>
      <c r="Q89" t="s">
        <v>378</v>
      </c>
    </row>
    <row r="90" spans="1:17" x14ac:dyDescent="0.25">
      <c r="A90">
        <v>89</v>
      </c>
      <c r="B90">
        <v>5</v>
      </c>
      <c r="C90" t="s">
        <v>136</v>
      </c>
      <c r="D90" t="s">
        <v>35</v>
      </c>
      <c r="E90">
        <v>0</v>
      </c>
      <c r="F90">
        <v>1</v>
      </c>
      <c r="G90" t="s">
        <v>137</v>
      </c>
      <c r="H90">
        <v>89</v>
      </c>
      <c r="I90" t="str">
        <f t="shared" si="4"/>
        <v>ETHAMBUTOL RESISTANCE DST</v>
      </c>
      <c r="J90" t="s">
        <v>37</v>
      </c>
      <c r="L90" s="1" t="s">
        <v>409</v>
      </c>
      <c r="N90">
        <v>1</v>
      </c>
      <c r="O90" s="4">
        <v>45203</v>
      </c>
      <c r="P90">
        <v>0</v>
      </c>
      <c r="Q90" t="s">
        <v>379</v>
      </c>
    </row>
    <row r="91" spans="1:17" x14ac:dyDescent="0.25">
      <c r="A91">
        <v>90</v>
      </c>
      <c r="B91">
        <v>5</v>
      </c>
      <c r="C91" t="s">
        <v>138</v>
      </c>
      <c r="D91" t="s">
        <v>35</v>
      </c>
      <c r="E91">
        <v>0</v>
      </c>
      <c r="F91">
        <v>1</v>
      </c>
      <c r="G91" t="s">
        <v>148</v>
      </c>
      <c r="H91">
        <v>90</v>
      </c>
      <c r="I91" t="str">
        <f t="shared" si="4"/>
        <v>ETHIONAMIDE RESISTANCE DST</v>
      </c>
      <c r="J91" t="s">
        <v>37</v>
      </c>
      <c r="L91" s="1" t="s">
        <v>409</v>
      </c>
      <c r="N91">
        <v>1</v>
      </c>
      <c r="O91" s="4">
        <v>45203</v>
      </c>
      <c r="P91">
        <v>0</v>
      </c>
      <c r="Q91" t="s">
        <v>380</v>
      </c>
    </row>
    <row r="92" spans="1:17" x14ac:dyDescent="0.25">
      <c r="A92">
        <v>91</v>
      </c>
      <c r="B92">
        <v>5</v>
      </c>
      <c r="C92" t="s">
        <v>139</v>
      </c>
      <c r="D92" t="s">
        <v>35</v>
      </c>
      <c r="E92">
        <v>0</v>
      </c>
      <c r="F92">
        <v>1</v>
      </c>
      <c r="G92" t="s">
        <v>149</v>
      </c>
      <c r="H92">
        <v>91</v>
      </c>
      <c r="I92" t="str">
        <f t="shared" si="4"/>
        <v>GATIFLOXACIN RESISTANCE DST</v>
      </c>
      <c r="J92" t="s">
        <v>37</v>
      </c>
      <c r="L92" s="1" t="s">
        <v>409</v>
      </c>
      <c r="N92">
        <v>1</v>
      </c>
      <c r="O92" s="4">
        <v>45203</v>
      </c>
      <c r="P92">
        <v>0</v>
      </c>
      <c r="Q92" t="s">
        <v>381</v>
      </c>
    </row>
    <row r="93" spans="1:17" x14ac:dyDescent="0.25">
      <c r="A93">
        <v>92</v>
      </c>
      <c r="B93">
        <v>5</v>
      </c>
      <c r="C93" t="s">
        <v>82</v>
      </c>
      <c r="D93" t="s">
        <v>35</v>
      </c>
      <c r="E93">
        <v>0</v>
      </c>
      <c r="F93">
        <v>1</v>
      </c>
      <c r="G93" t="s">
        <v>150</v>
      </c>
      <c r="H93">
        <v>92</v>
      </c>
      <c r="I93" t="str">
        <f t="shared" si="4"/>
        <v>ISONIAZID RESISTANCE DST</v>
      </c>
      <c r="J93" t="s">
        <v>37</v>
      </c>
      <c r="L93" s="1" t="s">
        <v>409</v>
      </c>
      <c r="N93">
        <v>1</v>
      </c>
      <c r="O93" s="4">
        <v>45203</v>
      </c>
      <c r="P93">
        <v>0</v>
      </c>
      <c r="Q93" t="s">
        <v>382</v>
      </c>
    </row>
    <row r="94" spans="1:17" x14ac:dyDescent="0.25">
      <c r="A94">
        <v>93</v>
      </c>
      <c r="B94">
        <v>5</v>
      </c>
      <c r="C94" t="s">
        <v>123</v>
      </c>
      <c r="D94" t="s">
        <v>35</v>
      </c>
      <c r="E94">
        <v>0</v>
      </c>
      <c r="F94">
        <v>1</v>
      </c>
      <c r="G94" s="7" t="s">
        <v>111</v>
      </c>
      <c r="H94">
        <v>93</v>
      </c>
      <c r="I94" t="str">
        <f t="shared" si="4"/>
        <v>KANAMYCIN RESISTANCE DST</v>
      </c>
      <c r="J94" t="s">
        <v>37</v>
      </c>
      <c r="L94" s="1" t="s">
        <v>409</v>
      </c>
      <c r="N94">
        <v>1</v>
      </c>
      <c r="O94" s="4">
        <v>45203</v>
      </c>
      <c r="P94">
        <v>0</v>
      </c>
      <c r="Q94" t="s">
        <v>383</v>
      </c>
    </row>
    <row r="95" spans="1:17" x14ac:dyDescent="0.25">
      <c r="A95">
        <v>94</v>
      </c>
      <c r="B95">
        <v>5</v>
      </c>
      <c r="C95" t="s">
        <v>115</v>
      </c>
      <c r="D95" t="s">
        <v>35</v>
      </c>
      <c r="E95">
        <v>0</v>
      </c>
      <c r="F95">
        <v>1</v>
      </c>
      <c r="G95" s="7" t="s">
        <v>103</v>
      </c>
      <c r="H95">
        <v>94</v>
      </c>
      <c r="I95" t="str">
        <f t="shared" si="4"/>
        <v>LEVOFLOXACIN RESISTANCE DST</v>
      </c>
      <c r="J95" t="s">
        <v>37</v>
      </c>
      <c r="L95" s="1" t="s">
        <v>409</v>
      </c>
      <c r="N95">
        <v>1</v>
      </c>
      <c r="O95" s="4">
        <v>45203</v>
      </c>
      <c r="P95">
        <v>0</v>
      </c>
      <c r="Q95" t="s">
        <v>384</v>
      </c>
    </row>
    <row r="96" spans="1:17" x14ac:dyDescent="0.25">
      <c r="A96">
        <v>95</v>
      </c>
      <c r="B96">
        <v>5</v>
      </c>
      <c r="C96" t="s">
        <v>117</v>
      </c>
      <c r="D96" t="s">
        <v>35</v>
      </c>
      <c r="E96">
        <v>0</v>
      </c>
      <c r="F96">
        <v>1</v>
      </c>
      <c r="G96" t="s">
        <v>105</v>
      </c>
      <c r="H96">
        <v>95</v>
      </c>
      <c r="I96" t="str">
        <f t="shared" si="4"/>
        <v>LINEZOLID RESISTANCE DST</v>
      </c>
      <c r="J96" t="s">
        <v>37</v>
      </c>
      <c r="L96" s="1" t="s">
        <v>409</v>
      </c>
      <c r="N96">
        <v>1</v>
      </c>
      <c r="O96" s="4">
        <v>45203</v>
      </c>
      <c r="P96">
        <v>0</v>
      </c>
      <c r="Q96" t="s">
        <v>385</v>
      </c>
    </row>
    <row r="97" spans="1:17" x14ac:dyDescent="0.25">
      <c r="A97">
        <v>96</v>
      </c>
      <c r="B97">
        <v>5</v>
      </c>
      <c r="C97" t="s">
        <v>114</v>
      </c>
      <c r="D97" t="s">
        <v>35</v>
      </c>
      <c r="E97">
        <v>0</v>
      </c>
      <c r="F97">
        <v>1</v>
      </c>
      <c r="G97" s="7" t="s">
        <v>102</v>
      </c>
      <c r="H97">
        <v>96</v>
      </c>
      <c r="I97" t="str">
        <f t="shared" si="4"/>
        <v>MOXIFLOXACIN RESISTANCE DST</v>
      </c>
      <c r="J97" t="s">
        <v>37</v>
      </c>
      <c r="L97" s="1" t="s">
        <v>409</v>
      </c>
      <c r="N97">
        <v>1</v>
      </c>
      <c r="O97" s="4">
        <v>45203</v>
      </c>
      <c r="P97">
        <v>0</v>
      </c>
      <c r="Q97" t="s">
        <v>386</v>
      </c>
    </row>
    <row r="98" spans="1:17" x14ac:dyDescent="0.25">
      <c r="A98">
        <v>97</v>
      </c>
      <c r="B98">
        <v>5</v>
      </c>
      <c r="C98" t="s">
        <v>113</v>
      </c>
      <c r="D98" t="s">
        <v>35</v>
      </c>
      <c r="E98">
        <v>0</v>
      </c>
      <c r="F98">
        <v>1</v>
      </c>
      <c r="G98" s="7" t="s">
        <v>101</v>
      </c>
      <c r="H98">
        <v>97</v>
      </c>
      <c r="I98" t="str">
        <f t="shared" si="4"/>
        <v>OFLOXACIN RESISTANCE DST</v>
      </c>
      <c r="J98" t="s">
        <v>37</v>
      </c>
      <c r="L98" s="1" t="s">
        <v>409</v>
      </c>
      <c r="N98">
        <v>1</v>
      </c>
      <c r="O98" s="4">
        <v>45203</v>
      </c>
      <c r="P98">
        <v>0</v>
      </c>
      <c r="Q98" t="s">
        <v>387</v>
      </c>
    </row>
    <row r="99" spans="1:17" x14ac:dyDescent="0.25">
      <c r="A99">
        <v>98</v>
      </c>
      <c r="B99">
        <v>5</v>
      </c>
      <c r="C99" t="s">
        <v>147</v>
      </c>
      <c r="D99" t="s">
        <v>35</v>
      </c>
      <c r="E99">
        <v>0</v>
      </c>
      <c r="F99">
        <v>1</v>
      </c>
      <c r="G99" s="7" t="s">
        <v>412</v>
      </c>
      <c r="H99">
        <v>98</v>
      </c>
      <c r="I99" t="str">
        <f t="shared" si="4"/>
        <v>OTHER RESISTANCE DST</v>
      </c>
      <c r="J99" t="s">
        <v>37</v>
      </c>
      <c r="L99" s="1" t="s">
        <v>409</v>
      </c>
      <c r="N99">
        <v>1</v>
      </c>
      <c r="O99" s="4">
        <v>45203</v>
      </c>
      <c r="P99">
        <v>0</v>
      </c>
      <c r="Q99" t="s">
        <v>388</v>
      </c>
    </row>
    <row r="100" spans="1:17" x14ac:dyDescent="0.25">
      <c r="A100">
        <v>99</v>
      </c>
      <c r="B100">
        <v>5</v>
      </c>
      <c r="C100" t="s">
        <v>121</v>
      </c>
      <c r="D100" t="s">
        <v>35</v>
      </c>
      <c r="E100">
        <v>0</v>
      </c>
      <c r="F100">
        <v>1</v>
      </c>
      <c r="G100" s="7" t="s">
        <v>109</v>
      </c>
      <c r="H100">
        <v>99</v>
      </c>
      <c r="I100" t="str">
        <f t="shared" si="4"/>
        <v>P-AMINOSALICY RESISTANCE DST</v>
      </c>
      <c r="J100" t="s">
        <v>37</v>
      </c>
      <c r="L100" s="1" t="s">
        <v>409</v>
      </c>
      <c r="N100">
        <v>1</v>
      </c>
      <c r="O100" s="4">
        <v>45203</v>
      </c>
      <c r="P100">
        <v>0</v>
      </c>
      <c r="Q100" t="s">
        <v>389</v>
      </c>
    </row>
    <row r="101" spans="1:17" x14ac:dyDescent="0.25">
      <c r="A101">
        <v>100</v>
      </c>
      <c r="B101">
        <v>5</v>
      </c>
      <c r="C101" t="s">
        <v>116</v>
      </c>
      <c r="D101" t="s">
        <v>35</v>
      </c>
      <c r="E101">
        <v>0</v>
      </c>
      <c r="F101">
        <v>1</v>
      </c>
      <c r="G101" s="7" t="s">
        <v>104</v>
      </c>
      <c r="H101">
        <v>100</v>
      </c>
      <c r="I101" t="str">
        <f t="shared" si="4"/>
        <v>PROTHIONAMIDE RESISTANCE DST</v>
      </c>
      <c r="J101" t="s">
        <v>37</v>
      </c>
      <c r="L101" s="1" t="s">
        <v>409</v>
      </c>
      <c r="N101">
        <v>1</v>
      </c>
      <c r="O101" s="4">
        <v>45203</v>
      </c>
      <c r="P101">
        <v>0</v>
      </c>
      <c r="Q101" t="s">
        <v>390</v>
      </c>
    </row>
    <row r="102" spans="1:17" x14ac:dyDescent="0.25">
      <c r="A102">
        <v>101</v>
      </c>
      <c r="B102">
        <v>5</v>
      </c>
      <c r="C102" t="s">
        <v>140</v>
      </c>
      <c r="D102" t="s">
        <v>35</v>
      </c>
      <c r="E102">
        <v>0</v>
      </c>
      <c r="F102">
        <v>1</v>
      </c>
      <c r="G102" t="s">
        <v>155</v>
      </c>
      <c r="H102">
        <v>101</v>
      </c>
      <c r="I102" t="str">
        <f t="shared" si="4"/>
        <v>PYRAZINAMIDE RESISTANCE DST</v>
      </c>
      <c r="J102" t="s">
        <v>37</v>
      </c>
      <c r="L102" s="1" t="s">
        <v>409</v>
      </c>
      <c r="N102">
        <v>1</v>
      </c>
      <c r="O102" s="4">
        <v>45203</v>
      </c>
      <c r="P102">
        <v>0</v>
      </c>
      <c r="Q102" t="s">
        <v>391</v>
      </c>
    </row>
    <row r="103" spans="1:17" x14ac:dyDescent="0.25">
      <c r="A103">
        <v>102</v>
      </c>
      <c r="B103">
        <v>5</v>
      </c>
      <c r="C103" t="s">
        <v>141</v>
      </c>
      <c r="D103" t="s">
        <v>35</v>
      </c>
      <c r="E103">
        <v>0</v>
      </c>
      <c r="F103">
        <v>1</v>
      </c>
      <c r="G103" t="s">
        <v>151</v>
      </c>
      <c r="H103">
        <v>102</v>
      </c>
      <c r="I103" t="str">
        <f t="shared" si="4"/>
        <v>PYRIDOXINE RESISTANCE DST</v>
      </c>
      <c r="J103" t="s">
        <v>37</v>
      </c>
      <c r="L103" s="1" t="s">
        <v>409</v>
      </c>
      <c r="N103">
        <v>1</v>
      </c>
      <c r="O103" s="4">
        <v>45203</v>
      </c>
      <c r="P103">
        <v>0</v>
      </c>
      <c r="Q103" t="s">
        <v>392</v>
      </c>
    </row>
    <row r="104" spans="1:17" x14ac:dyDescent="0.25">
      <c r="A104">
        <v>103</v>
      </c>
      <c r="B104">
        <v>5</v>
      </c>
      <c r="C104" t="s">
        <v>142</v>
      </c>
      <c r="D104" t="s">
        <v>35</v>
      </c>
      <c r="E104">
        <v>0</v>
      </c>
      <c r="F104">
        <v>1</v>
      </c>
      <c r="G104" t="s">
        <v>411</v>
      </c>
      <c r="H104">
        <v>103</v>
      </c>
      <c r="I104" t="str">
        <f t="shared" si="4"/>
        <v>RIFABUTIN RESISTANCE DST</v>
      </c>
      <c r="J104" t="s">
        <v>37</v>
      </c>
      <c r="L104" s="1" t="s">
        <v>409</v>
      </c>
      <c r="N104">
        <v>1</v>
      </c>
      <c r="O104" s="4">
        <v>45203</v>
      </c>
      <c r="P104">
        <v>0</v>
      </c>
      <c r="Q104" t="s">
        <v>393</v>
      </c>
    </row>
    <row r="105" spans="1:17" x14ac:dyDescent="0.25">
      <c r="A105">
        <v>104</v>
      </c>
      <c r="B105">
        <v>5</v>
      </c>
      <c r="C105" t="s">
        <v>61</v>
      </c>
      <c r="D105" t="s">
        <v>35</v>
      </c>
      <c r="E105">
        <v>0</v>
      </c>
      <c r="F105">
        <v>1</v>
      </c>
      <c r="G105" t="s">
        <v>153</v>
      </c>
      <c r="H105">
        <v>104</v>
      </c>
      <c r="I105" t="str">
        <f t="shared" si="4"/>
        <v>RIFAMPICIN RESISTANCE DST</v>
      </c>
      <c r="J105" t="s">
        <v>37</v>
      </c>
      <c r="L105" s="1" t="s">
        <v>409</v>
      </c>
      <c r="N105">
        <v>1</v>
      </c>
      <c r="O105" s="4">
        <v>45203</v>
      </c>
      <c r="P105">
        <v>0</v>
      </c>
      <c r="Q105" t="s">
        <v>394</v>
      </c>
    </row>
    <row r="106" spans="1:17" x14ac:dyDescent="0.25">
      <c r="A106">
        <v>105</v>
      </c>
      <c r="B106">
        <v>5</v>
      </c>
      <c r="C106" t="s">
        <v>143</v>
      </c>
      <c r="D106" t="s">
        <v>35</v>
      </c>
      <c r="E106">
        <v>0</v>
      </c>
      <c r="F106">
        <v>1</v>
      </c>
      <c r="G106" t="s">
        <v>154</v>
      </c>
      <c r="H106">
        <v>105</v>
      </c>
      <c r="I106" t="str">
        <f t="shared" si="4"/>
        <v>STREPTOMYCIN RESISTANCE DST</v>
      </c>
      <c r="J106" t="s">
        <v>37</v>
      </c>
      <c r="L106" s="1" t="s">
        <v>409</v>
      </c>
      <c r="N106">
        <v>1</v>
      </c>
      <c r="O106" s="4">
        <v>45203</v>
      </c>
      <c r="P106">
        <v>0</v>
      </c>
      <c r="Q106" t="s">
        <v>395</v>
      </c>
    </row>
    <row r="107" spans="1:17" x14ac:dyDescent="0.25">
      <c r="A107">
        <v>106</v>
      </c>
      <c r="B107">
        <v>5</v>
      </c>
      <c r="C107" t="s">
        <v>144</v>
      </c>
      <c r="D107" t="s">
        <v>35</v>
      </c>
      <c r="E107">
        <v>0</v>
      </c>
      <c r="F107">
        <v>1</v>
      </c>
      <c r="G107" t="s">
        <v>151</v>
      </c>
      <c r="H107">
        <v>106</v>
      </c>
      <c r="I107" t="str">
        <f t="shared" si="4"/>
        <v>TERIZIDONE RESISTANCE DST</v>
      </c>
      <c r="J107" t="s">
        <v>37</v>
      </c>
      <c r="L107" s="1" t="s">
        <v>409</v>
      </c>
      <c r="N107">
        <v>1</v>
      </c>
      <c r="O107" s="4">
        <v>45203</v>
      </c>
      <c r="P107">
        <v>0</v>
      </c>
      <c r="Q107" t="s">
        <v>396</v>
      </c>
    </row>
    <row r="108" spans="1:17" x14ac:dyDescent="0.25">
      <c r="A108">
        <v>107</v>
      </c>
      <c r="B108">
        <v>5</v>
      </c>
      <c r="C108" t="s">
        <v>145</v>
      </c>
      <c r="D108" t="s">
        <v>35</v>
      </c>
      <c r="E108">
        <v>0</v>
      </c>
      <c r="F108">
        <v>1</v>
      </c>
      <c r="G108" t="s">
        <v>152</v>
      </c>
      <c r="H108">
        <v>107</v>
      </c>
      <c r="I108" t="str">
        <f t="shared" si="4"/>
        <v>THIOACETAZONE RESISTANCE DST</v>
      </c>
      <c r="J108" t="s">
        <v>37</v>
      </c>
      <c r="L108" s="1" t="s">
        <v>409</v>
      </c>
      <c r="N108">
        <v>1</v>
      </c>
      <c r="O108" s="4">
        <v>45203</v>
      </c>
      <c r="P108">
        <v>0</v>
      </c>
      <c r="Q108" t="s">
        <v>397</v>
      </c>
    </row>
    <row r="109" spans="1:17" x14ac:dyDescent="0.25">
      <c r="A109">
        <v>108</v>
      </c>
      <c r="B109">
        <v>5</v>
      </c>
      <c r="C109" t="s">
        <v>146</v>
      </c>
      <c r="D109" t="s">
        <v>35</v>
      </c>
      <c r="E109">
        <v>0</v>
      </c>
      <c r="F109">
        <v>1</v>
      </c>
      <c r="G109" t="s">
        <v>156</v>
      </c>
      <c r="H109">
        <v>108</v>
      </c>
      <c r="I109" t="str">
        <f t="shared" si="4"/>
        <v>VIOMYCIN RESISTANCE DST</v>
      </c>
      <c r="J109" t="s">
        <v>37</v>
      </c>
      <c r="L109" s="1" t="s">
        <v>409</v>
      </c>
      <c r="N109">
        <v>1</v>
      </c>
      <c r="O109" s="4">
        <v>45203</v>
      </c>
      <c r="P109">
        <v>0</v>
      </c>
      <c r="Q109" t="s">
        <v>398</v>
      </c>
    </row>
    <row r="110" spans="1:17" x14ac:dyDescent="0.25">
      <c r="A110">
        <v>109</v>
      </c>
      <c r="B110">
        <v>7</v>
      </c>
      <c r="C110" t="s">
        <v>83</v>
      </c>
      <c r="D110" t="s">
        <v>39</v>
      </c>
      <c r="E110">
        <v>0</v>
      </c>
      <c r="F110">
        <v>1</v>
      </c>
      <c r="G110" t="s">
        <v>40</v>
      </c>
      <c r="H110">
        <v>1</v>
      </c>
      <c r="I110" t="str">
        <f t="shared" ref="I110:I127" si="5">C110 &amp; " " &amp;L110</f>
        <v xml:space="preserve">DATE COLLECTED </v>
      </c>
      <c r="J110" t="s">
        <v>41</v>
      </c>
      <c r="N110">
        <v>1</v>
      </c>
      <c r="O110" s="4">
        <v>45203</v>
      </c>
      <c r="P110">
        <v>0</v>
      </c>
      <c r="Q110" t="s">
        <v>181</v>
      </c>
    </row>
    <row r="111" spans="1:17" x14ac:dyDescent="0.25">
      <c r="A111">
        <v>110</v>
      </c>
      <c r="B111">
        <v>7</v>
      </c>
      <c r="C111" t="s">
        <v>42</v>
      </c>
      <c r="D111" t="s">
        <v>39</v>
      </c>
      <c r="E111">
        <v>0</v>
      </c>
      <c r="F111">
        <v>1</v>
      </c>
      <c r="H111">
        <v>2</v>
      </c>
      <c r="I111" t="str">
        <f t="shared" si="5"/>
        <v xml:space="preserve">INVESTIGATION DATE </v>
      </c>
      <c r="J111" t="s">
        <v>41</v>
      </c>
      <c r="N111">
        <v>1</v>
      </c>
      <c r="O111" s="4">
        <v>45203</v>
      </c>
      <c r="P111">
        <v>0</v>
      </c>
      <c r="Q111" t="s">
        <v>182</v>
      </c>
    </row>
    <row r="112" spans="1:17" x14ac:dyDescent="0.25">
      <c r="A112">
        <v>111</v>
      </c>
      <c r="B112">
        <v>7</v>
      </c>
      <c r="C112" t="s">
        <v>47</v>
      </c>
      <c r="D112" t="s">
        <v>48</v>
      </c>
      <c r="E112">
        <v>0</v>
      </c>
      <c r="F112">
        <v>1</v>
      </c>
      <c r="G112" t="s">
        <v>129</v>
      </c>
      <c r="H112">
        <v>3</v>
      </c>
      <c r="I112" t="str">
        <f t="shared" si="5"/>
        <v xml:space="preserve">LABORATORY INVESTIGATION NUMBER </v>
      </c>
      <c r="J112" t="s">
        <v>50</v>
      </c>
      <c r="N112">
        <v>1</v>
      </c>
      <c r="O112" s="4">
        <v>45203</v>
      </c>
      <c r="P112">
        <v>0</v>
      </c>
      <c r="Q112" t="s">
        <v>183</v>
      </c>
    </row>
    <row r="113" spans="1:17" x14ac:dyDescent="0.25">
      <c r="A113">
        <v>112</v>
      </c>
      <c r="B113">
        <v>7</v>
      </c>
      <c r="C113" t="s">
        <v>53</v>
      </c>
      <c r="D113" t="s">
        <v>35</v>
      </c>
      <c r="E113">
        <v>0</v>
      </c>
      <c r="F113">
        <v>1</v>
      </c>
      <c r="G113" t="s">
        <v>54</v>
      </c>
      <c r="H113">
        <v>4</v>
      </c>
      <c r="I113" t="str">
        <f t="shared" si="5"/>
        <v xml:space="preserve">PURPOSE OF INVESTIGATION </v>
      </c>
      <c r="J113" t="s">
        <v>37</v>
      </c>
      <c r="N113">
        <v>1</v>
      </c>
      <c r="O113" s="4">
        <v>45203</v>
      </c>
      <c r="P113">
        <v>0</v>
      </c>
      <c r="Q113" t="s">
        <v>184</v>
      </c>
    </row>
    <row r="114" spans="1:17" x14ac:dyDescent="0.25">
      <c r="A114">
        <v>113</v>
      </c>
      <c r="B114">
        <v>7</v>
      </c>
      <c r="C114" t="s">
        <v>56</v>
      </c>
      <c r="D114" t="s">
        <v>57</v>
      </c>
      <c r="E114">
        <v>0</v>
      </c>
      <c r="F114">
        <v>1</v>
      </c>
      <c r="H114">
        <v>5</v>
      </c>
      <c r="I114" t="str">
        <f t="shared" si="5"/>
        <v xml:space="preserve">REFERRING FACILITY </v>
      </c>
      <c r="J114" t="s">
        <v>58</v>
      </c>
      <c r="N114">
        <v>1</v>
      </c>
      <c r="O114" s="4">
        <v>45203</v>
      </c>
      <c r="P114">
        <v>0</v>
      </c>
      <c r="Q114" t="s">
        <v>185</v>
      </c>
    </row>
    <row r="115" spans="1:17" x14ac:dyDescent="0.25">
      <c r="A115">
        <v>114</v>
      </c>
      <c r="B115">
        <v>7</v>
      </c>
      <c r="C115" t="s">
        <v>59</v>
      </c>
      <c r="D115" t="s">
        <v>35</v>
      </c>
      <c r="E115">
        <v>0</v>
      </c>
      <c r="F115">
        <v>1</v>
      </c>
      <c r="G115" t="s">
        <v>60</v>
      </c>
      <c r="H115">
        <v>6</v>
      </c>
      <c r="I115" t="str">
        <f t="shared" si="5"/>
        <v xml:space="preserve">REQUESTING MEDICAL FACILITY </v>
      </c>
      <c r="J115" t="s">
        <v>37</v>
      </c>
      <c r="N115">
        <v>1</v>
      </c>
      <c r="O115" s="4">
        <v>45203</v>
      </c>
      <c r="P115">
        <v>0</v>
      </c>
      <c r="Q115" t="s">
        <v>186</v>
      </c>
    </row>
    <row r="116" spans="1:17" x14ac:dyDescent="0.25">
      <c r="A116">
        <v>115</v>
      </c>
      <c r="B116">
        <v>7</v>
      </c>
      <c r="C116" t="s">
        <v>80</v>
      </c>
      <c r="D116" t="s">
        <v>35</v>
      </c>
      <c r="E116">
        <v>0</v>
      </c>
      <c r="F116">
        <v>1</v>
      </c>
      <c r="G116" t="s">
        <v>84</v>
      </c>
      <c r="H116">
        <v>7</v>
      </c>
      <c r="I116" t="str">
        <f t="shared" si="5"/>
        <v xml:space="preserve">TUBERCULOSIS SAMPLE SOURCE </v>
      </c>
      <c r="J116" t="s">
        <v>37</v>
      </c>
      <c r="N116">
        <v>1</v>
      </c>
      <c r="O116" s="4">
        <v>45203</v>
      </c>
      <c r="P116">
        <v>0</v>
      </c>
      <c r="Q116" t="s">
        <v>187</v>
      </c>
    </row>
    <row r="117" spans="1:17" x14ac:dyDescent="0.25">
      <c r="A117">
        <v>116</v>
      </c>
      <c r="B117">
        <v>7</v>
      </c>
      <c r="C117" t="s">
        <v>38</v>
      </c>
      <c r="D117" t="s">
        <v>39</v>
      </c>
      <c r="E117">
        <v>0</v>
      </c>
      <c r="F117">
        <v>1</v>
      </c>
      <c r="H117">
        <v>8</v>
      </c>
      <c r="I117" t="str">
        <f t="shared" si="5"/>
        <v xml:space="preserve">DATE OF REQUEST FOR LABORATORY INVESTIGATION </v>
      </c>
      <c r="J117" t="s">
        <v>41</v>
      </c>
      <c r="N117">
        <v>1</v>
      </c>
      <c r="O117" s="4">
        <v>45203</v>
      </c>
      <c r="P117">
        <v>0</v>
      </c>
      <c r="Q117" t="s">
        <v>188</v>
      </c>
    </row>
    <row r="118" spans="1:17" x14ac:dyDescent="0.25">
      <c r="A118">
        <v>117</v>
      </c>
      <c r="B118">
        <v>7</v>
      </c>
      <c r="C118" t="s">
        <v>43</v>
      </c>
      <c r="D118" t="s">
        <v>44</v>
      </c>
      <c r="E118">
        <v>0</v>
      </c>
      <c r="F118">
        <v>1</v>
      </c>
      <c r="G118" t="s">
        <v>45</v>
      </c>
      <c r="H118">
        <v>9</v>
      </c>
      <c r="I118" t="str">
        <f t="shared" si="5"/>
        <v xml:space="preserve">LAB SPECIALIST NAME </v>
      </c>
      <c r="J118" t="s">
        <v>46</v>
      </c>
      <c r="N118">
        <v>1</v>
      </c>
      <c r="O118" s="4">
        <v>45203</v>
      </c>
      <c r="P118">
        <v>0</v>
      </c>
      <c r="Q118" t="s">
        <v>189</v>
      </c>
    </row>
    <row r="119" spans="1:17" x14ac:dyDescent="0.25">
      <c r="A119">
        <v>118</v>
      </c>
      <c r="B119">
        <v>7</v>
      </c>
      <c r="C119" t="s">
        <v>55</v>
      </c>
      <c r="D119" t="s">
        <v>44</v>
      </c>
      <c r="E119">
        <v>0</v>
      </c>
      <c r="F119">
        <v>1</v>
      </c>
      <c r="G119" t="s">
        <v>45</v>
      </c>
      <c r="H119">
        <v>10</v>
      </c>
      <c r="I119" t="str">
        <f t="shared" si="5"/>
        <v xml:space="preserve">REFERRED BY </v>
      </c>
      <c r="J119" t="s">
        <v>46</v>
      </c>
      <c r="N119">
        <v>1</v>
      </c>
      <c r="O119" s="4">
        <v>45203</v>
      </c>
      <c r="P119">
        <v>0</v>
      </c>
      <c r="Q119" t="s">
        <v>190</v>
      </c>
    </row>
    <row r="120" spans="1:17" x14ac:dyDescent="0.25">
      <c r="A120">
        <v>119</v>
      </c>
      <c r="B120">
        <v>7</v>
      </c>
      <c r="C120" t="s">
        <v>216</v>
      </c>
      <c r="D120" t="s">
        <v>44</v>
      </c>
      <c r="E120">
        <v>0</v>
      </c>
      <c r="F120">
        <v>1</v>
      </c>
      <c r="G120" t="s">
        <v>45</v>
      </c>
      <c r="H120">
        <v>11</v>
      </c>
      <c r="I120" t="str">
        <f t="shared" si="5"/>
        <v xml:space="preserve">TUBERCULOSIS SPECIMEN ID </v>
      </c>
      <c r="J120" t="s">
        <v>46</v>
      </c>
      <c r="N120">
        <v>1</v>
      </c>
      <c r="O120" s="4">
        <v>45203</v>
      </c>
      <c r="P120">
        <v>0</v>
      </c>
      <c r="Q120" t="s">
        <v>191</v>
      </c>
    </row>
    <row r="121" spans="1:17" x14ac:dyDescent="0.25">
      <c r="A121">
        <v>120</v>
      </c>
      <c r="B121">
        <v>7</v>
      </c>
      <c r="C121" t="s">
        <v>217</v>
      </c>
      <c r="D121" t="s">
        <v>48</v>
      </c>
      <c r="E121">
        <v>0</v>
      </c>
      <c r="F121">
        <v>1</v>
      </c>
      <c r="G121" t="s">
        <v>49</v>
      </c>
      <c r="H121">
        <v>12</v>
      </c>
      <c r="I121" t="str">
        <f t="shared" si="5"/>
        <v xml:space="preserve">MONTH OF TREATMENT </v>
      </c>
      <c r="J121" t="s">
        <v>50</v>
      </c>
      <c r="N121">
        <v>1</v>
      </c>
      <c r="O121" s="4">
        <v>45203</v>
      </c>
      <c r="P121">
        <v>0</v>
      </c>
      <c r="Q121" t="s">
        <v>192</v>
      </c>
    </row>
    <row r="122" spans="1:17" x14ac:dyDescent="0.25">
      <c r="A122">
        <v>121</v>
      </c>
      <c r="B122">
        <v>7</v>
      </c>
      <c r="C122" t="s">
        <v>218</v>
      </c>
      <c r="D122" t="s">
        <v>48</v>
      </c>
      <c r="E122">
        <v>0</v>
      </c>
      <c r="F122">
        <v>1</v>
      </c>
      <c r="G122" t="s">
        <v>49</v>
      </c>
      <c r="H122">
        <v>13</v>
      </c>
      <c r="I122" t="str">
        <f t="shared" si="5"/>
        <v xml:space="preserve">PATIENT PROGRAM ID </v>
      </c>
      <c r="J122" t="s">
        <v>50</v>
      </c>
      <c r="N122">
        <v>1</v>
      </c>
      <c r="O122" s="4">
        <v>45203</v>
      </c>
      <c r="P122">
        <v>0</v>
      </c>
      <c r="Q122" t="s">
        <v>193</v>
      </c>
    </row>
    <row r="123" spans="1:17" x14ac:dyDescent="0.25">
      <c r="A123">
        <v>122</v>
      </c>
      <c r="B123">
        <v>7</v>
      </c>
      <c r="C123" t="s">
        <v>98</v>
      </c>
      <c r="D123" t="s">
        <v>99</v>
      </c>
      <c r="E123">
        <v>0</v>
      </c>
      <c r="F123">
        <v>1</v>
      </c>
      <c r="H123">
        <v>14</v>
      </c>
      <c r="I123" t="str">
        <f t="shared" si="5"/>
        <v xml:space="preserve">DIRECT/INDIRECT </v>
      </c>
      <c r="J123" t="s">
        <v>100</v>
      </c>
      <c r="L123" s="1"/>
      <c r="N123">
        <v>1</v>
      </c>
      <c r="O123" s="4">
        <v>45203</v>
      </c>
      <c r="P123">
        <v>0</v>
      </c>
      <c r="Q123" t="s">
        <v>194</v>
      </c>
    </row>
    <row r="124" spans="1:17" x14ac:dyDescent="0.25">
      <c r="A124">
        <v>123</v>
      </c>
      <c r="B124">
        <v>7</v>
      </c>
      <c r="C124" t="s">
        <v>92</v>
      </c>
      <c r="D124" t="s">
        <v>35</v>
      </c>
      <c r="E124">
        <v>0</v>
      </c>
      <c r="F124">
        <v>1</v>
      </c>
      <c r="G124" t="s">
        <v>95</v>
      </c>
      <c r="H124">
        <v>15</v>
      </c>
      <c r="I124" t="str">
        <f t="shared" si="5"/>
        <v xml:space="preserve">TYPE OF ORGANISM </v>
      </c>
      <c r="J124" t="s">
        <v>37</v>
      </c>
      <c r="L124" s="1"/>
      <c r="N124">
        <v>1</v>
      </c>
      <c r="O124" s="4">
        <v>45203</v>
      </c>
      <c r="P124">
        <v>0</v>
      </c>
      <c r="Q124" t="s">
        <v>195</v>
      </c>
    </row>
    <row r="125" spans="1:17" x14ac:dyDescent="0.25">
      <c r="A125">
        <v>124</v>
      </c>
      <c r="B125">
        <v>7</v>
      </c>
      <c r="C125" t="s">
        <v>93</v>
      </c>
      <c r="D125" t="s">
        <v>44</v>
      </c>
      <c r="E125">
        <v>0</v>
      </c>
      <c r="F125">
        <v>1</v>
      </c>
      <c r="G125" t="s">
        <v>45</v>
      </c>
      <c r="H125">
        <v>16</v>
      </c>
      <c r="I125" t="str">
        <f t="shared" si="5"/>
        <v xml:space="preserve">TYPE OF ORGANISM NON-CODED </v>
      </c>
      <c r="J125" t="s">
        <v>46</v>
      </c>
      <c r="L125" s="1"/>
      <c r="N125">
        <v>1</v>
      </c>
      <c r="O125" s="4">
        <v>45203</v>
      </c>
      <c r="P125">
        <v>0</v>
      </c>
      <c r="Q125" t="s">
        <v>196</v>
      </c>
    </row>
    <row r="126" spans="1:17" x14ac:dyDescent="0.25">
      <c r="A126">
        <v>125</v>
      </c>
      <c r="B126">
        <v>7</v>
      </c>
      <c r="C126" t="s">
        <v>89</v>
      </c>
      <c r="D126" t="s">
        <v>48</v>
      </c>
      <c r="E126">
        <v>0</v>
      </c>
      <c r="F126">
        <v>1</v>
      </c>
      <c r="G126" t="s">
        <v>49</v>
      </c>
      <c r="H126">
        <v>17</v>
      </c>
      <c r="I126" t="str">
        <f t="shared" si="5"/>
        <v xml:space="preserve">COLONIES </v>
      </c>
      <c r="J126" t="s">
        <v>50</v>
      </c>
      <c r="L126" s="1"/>
      <c r="N126">
        <v>1</v>
      </c>
      <c r="O126" s="4">
        <v>45203</v>
      </c>
      <c r="P126">
        <v>0</v>
      </c>
      <c r="Q126" t="s">
        <v>197</v>
      </c>
    </row>
    <row r="127" spans="1:17" x14ac:dyDescent="0.25">
      <c r="A127">
        <v>126</v>
      </c>
      <c r="B127">
        <v>7</v>
      </c>
      <c r="C127" t="s">
        <v>125</v>
      </c>
      <c r="D127" t="s">
        <v>48</v>
      </c>
      <c r="E127">
        <v>0</v>
      </c>
      <c r="F127">
        <v>1</v>
      </c>
      <c r="G127" t="s">
        <v>49</v>
      </c>
      <c r="H127">
        <v>18</v>
      </c>
      <c r="I127" t="str">
        <f t="shared" si="5"/>
        <v xml:space="preserve">CONCENTRATION </v>
      </c>
      <c r="J127" t="s">
        <v>50</v>
      </c>
      <c r="L127" s="1"/>
      <c r="N127">
        <v>1</v>
      </c>
      <c r="O127" s="4">
        <v>45203</v>
      </c>
      <c r="P127">
        <v>0</v>
      </c>
      <c r="Q127" t="s">
        <v>198</v>
      </c>
    </row>
    <row r="128" spans="1:17" x14ac:dyDescent="0.25">
      <c r="A128">
        <v>127</v>
      </c>
      <c r="B128">
        <v>7</v>
      </c>
      <c r="C128" t="s">
        <v>126</v>
      </c>
      <c r="D128" t="s">
        <v>48</v>
      </c>
      <c r="E128">
        <v>0</v>
      </c>
      <c r="F128">
        <v>1</v>
      </c>
      <c r="G128" t="s">
        <v>49</v>
      </c>
      <c r="H128">
        <v>19</v>
      </c>
      <c r="I128" t="str">
        <f t="shared" ref="I128:I157" si="6">C128 &amp; " " &amp;L128</f>
        <v xml:space="preserve">COLONIES IN CONTROL </v>
      </c>
      <c r="J128" t="s">
        <v>50</v>
      </c>
      <c r="L128" s="1"/>
      <c r="N128">
        <v>1</v>
      </c>
      <c r="O128" s="4">
        <v>45203</v>
      </c>
      <c r="P128">
        <v>0</v>
      </c>
      <c r="Q128" t="s">
        <v>199</v>
      </c>
    </row>
    <row r="129" spans="1:17" x14ac:dyDescent="0.25">
      <c r="A129">
        <v>128</v>
      </c>
      <c r="B129">
        <v>7</v>
      </c>
      <c r="C129" s="7" t="s">
        <v>127</v>
      </c>
      <c r="D129" t="s">
        <v>35</v>
      </c>
      <c r="E129">
        <v>0</v>
      </c>
      <c r="F129">
        <v>1</v>
      </c>
      <c r="G129" s="7" t="s">
        <v>128</v>
      </c>
      <c r="H129">
        <v>20</v>
      </c>
      <c r="I129" t="str">
        <f t="shared" si="6"/>
        <v xml:space="preserve">TUBERCULOSIS DRUG SENSITIVITY TEST METHOD </v>
      </c>
      <c r="J129" t="s">
        <v>37</v>
      </c>
      <c r="L129" s="1"/>
      <c r="N129">
        <v>1</v>
      </c>
      <c r="O129" s="4">
        <v>45203</v>
      </c>
      <c r="P129">
        <v>0</v>
      </c>
      <c r="Q129" t="s">
        <v>200</v>
      </c>
    </row>
    <row r="130" spans="1:17" x14ac:dyDescent="0.25">
      <c r="A130">
        <v>129</v>
      </c>
      <c r="B130">
        <v>7</v>
      </c>
      <c r="C130" t="s">
        <v>124</v>
      </c>
      <c r="D130" t="s">
        <v>35</v>
      </c>
      <c r="E130">
        <v>0</v>
      </c>
      <c r="F130">
        <v>1</v>
      </c>
      <c r="G130" s="7" t="s">
        <v>112</v>
      </c>
      <c r="H130">
        <v>21</v>
      </c>
      <c r="I130" t="str">
        <f t="shared" si="6"/>
        <v xml:space="preserve">AMIKACIN RESISTANCE </v>
      </c>
      <c r="J130" t="s">
        <v>37</v>
      </c>
      <c r="L130" s="1"/>
      <c r="N130">
        <v>1</v>
      </c>
      <c r="O130" s="4">
        <v>45203</v>
      </c>
      <c r="P130">
        <v>0</v>
      </c>
      <c r="Q130" t="s">
        <v>201</v>
      </c>
    </row>
    <row r="131" spans="1:17" x14ac:dyDescent="0.25">
      <c r="A131">
        <v>130</v>
      </c>
      <c r="B131">
        <v>7</v>
      </c>
      <c r="C131" t="s">
        <v>119</v>
      </c>
      <c r="D131" t="s">
        <v>35</v>
      </c>
      <c r="E131">
        <v>0</v>
      </c>
      <c r="F131">
        <v>1</v>
      </c>
      <c r="G131" s="7" t="s">
        <v>107</v>
      </c>
      <c r="H131">
        <v>22</v>
      </c>
      <c r="I131" t="str">
        <f t="shared" si="6"/>
        <v xml:space="preserve">BEDAQUILINE RESISTANCE </v>
      </c>
      <c r="J131" t="s">
        <v>37</v>
      </c>
      <c r="L131" s="1"/>
      <c r="N131">
        <v>1</v>
      </c>
      <c r="O131" s="4">
        <v>45203</v>
      </c>
      <c r="P131">
        <v>0</v>
      </c>
      <c r="Q131" t="s">
        <v>202</v>
      </c>
    </row>
    <row r="132" spans="1:17" x14ac:dyDescent="0.25">
      <c r="A132">
        <v>131</v>
      </c>
      <c r="B132">
        <v>7</v>
      </c>
      <c r="C132" t="s">
        <v>122</v>
      </c>
      <c r="D132" t="s">
        <v>35</v>
      </c>
      <c r="E132">
        <v>0</v>
      </c>
      <c r="F132">
        <v>1</v>
      </c>
      <c r="G132" s="7" t="s">
        <v>110</v>
      </c>
      <c r="H132">
        <v>23</v>
      </c>
      <c r="I132" t="str">
        <f t="shared" si="6"/>
        <v xml:space="preserve">CAPREOMYCIN RESISTANCE </v>
      </c>
      <c r="J132" t="s">
        <v>37</v>
      </c>
      <c r="L132" s="1"/>
      <c r="N132">
        <v>1</v>
      </c>
      <c r="O132" s="4">
        <v>45203</v>
      </c>
      <c r="P132">
        <v>0</v>
      </c>
      <c r="Q132" t="s">
        <v>203</v>
      </c>
    </row>
    <row r="133" spans="1:17" x14ac:dyDescent="0.25">
      <c r="A133">
        <v>132</v>
      </c>
      <c r="B133">
        <v>7</v>
      </c>
      <c r="C133" t="s">
        <v>130</v>
      </c>
      <c r="D133" t="s">
        <v>35</v>
      </c>
      <c r="E133">
        <v>0</v>
      </c>
      <c r="F133">
        <v>1</v>
      </c>
      <c r="G133" t="s">
        <v>131</v>
      </c>
      <c r="H133">
        <v>24</v>
      </c>
      <c r="I133" t="str">
        <f t="shared" si="6"/>
        <v xml:space="preserve">CIPROFLOXACIN RESISTANCE </v>
      </c>
      <c r="J133" t="s">
        <v>37</v>
      </c>
      <c r="L133" s="1"/>
      <c r="N133">
        <v>1</v>
      </c>
      <c r="O133" s="4">
        <v>45203</v>
      </c>
      <c r="P133">
        <v>0</v>
      </c>
      <c r="Q133" t="s">
        <v>204</v>
      </c>
    </row>
    <row r="134" spans="1:17" x14ac:dyDescent="0.25">
      <c r="A134">
        <v>133</v>
      </c>
      <c r="B134">
        <v>7</v>
      </c>
      <c r="C134" t="s">
        <v>132</v>
      </c>
      <c r="D134" t="s">
        <v>35</v>
      </c>
      <c r="E134">
        <v>0</v>
      </c>
      <c r="F134">
        <v>1</v>
      </c>
      <c r="G134" t="s">
        <v>133</v>
      </c>
      <c r="H134">
        <v>25</v>
      </c>
      <c r="I134" t="str">
        <f t="shared" si="6"/>
        <v xml:space="preserve">CLARITHROMYCIN RESISTANCE </v>
      </c>
      <c r="J134" t="s">
        <v>37</v>
      </c>
      <c r="L134" s="1"/>
      <c r="N134">
        <v>1</v>
      </c>
      <c r="O134" s="4">
        <v>45203</v>
      </c>
      <c r="P134">
        <v>0</v>
      </c>
      <c r="Q134" t="s">
        <v>205</v>
      </c>
    </row>
    <row r="135" spans="1:17" x14ac:dyDescent="0.25">
      <c r="A135">
        <v>134</v>
      </c>
      <c r="B135">
        <v>7</v>
      </c>
      <c r="C135" t="s">
        <v>118</v>
      </c>
      <c r="D135" t="s">
        <v>35</v>
      </c>
      <c r="E135">
        <v>0</v>
      </c>
      <c r="F135">
        <v>1</v>
      </c>
      <c r="G135" s="7" t="s">
        <v>106</v>
      </c>
      <c r="H135">
        <v>27</v>
      </c>
      <c r="I135" t="str">
        <f t="shared" si="6"/>
        <v xml:space="preserve">CLOFAZAMINE RESISTANCE </v>
      </c>
      <c r="J135" t="s">
        <v>37</v>
      </c>
      <c r="L135" s="1"/>
      <c r="N135">
        <v>1</v>
      </c>
      <c r="O135" s="4">
        <v>45203</v>
      </c>
      <c r="P135">
        <v>0</v>
      </c>
      <c r="Q135" t="s">
        <v>206</v>
      </c>
    </row>
    <row r="136" spans="1:17" x14ac:dyDescent="0.25">
      <c r="A136">
        <v>135</v>
      </c>
      <c r="B136">
        <v>7</v>
      </c>
      <c r="C136" t="s">
        <v>134</v>
      </c>
      <c r="D136" t="s">
        <v>35</v>
      </c>
      <c r="E136">
        <v>0</v>
      </c>
      <c r="F136">
        <v>1</v>
      </c>
      <c r="G136" t="s">
        <v>135</v>
      </c>
      <c r="H136">
        <v>28</v>
      </c>
      <c r="I136" t="str">
        <f t="shared" si="6"/>
        <v xml:space="preserve">CYCLOSERINE RESISTANCE </v>
      </c>
      <c r="J136" t="s">
        <v>37</v>
      </c>
      <c r="L136" s="1"/>
      <c r="N136">
        <v>1</v>
      </c>
      <c r="O136" s="4">
        <v>45203</v>
      </c>
      <c r="P136">
        <v>0</v>
      </c>
      <c r="Q136" t="s">
        <v>207</v>
      </c>
    </row>
    <row r="137" spans="1:17" x14ac:dyDescent="0.25">
      <c r="A137">
        <v>136</v>
      </c>
      <c r="B137">
        <v>7</v>
      </c>
      <c r="C137" t="s">
        <v>120</v>
      </c>
      <c r="D137" t="s">
        <v>35</v>
      </c>
      <c r="E137">
        <v>0</v>
      </c>
      <c r="F137">
        <v>1</v>
      </c>
      <c r="G137" t="s">
        <v>108</v>
      </c>
      <c r="H137">
        <v>29</v>
      </c>
      <c r="I137" t="str">
        <f t="shared" si="6"/>
        <v xml:space="preserve">DELAMANID RESISTANCE </v>
      </c>
      <c r="J137" t="s">
        <v>37</v>
      </c>
      <c r="L137" s="1"/>
      <c r="N137">
        <v>1</v>
      </c>
      <c r="O137" s="4">
        <v>45203</v>
      </c>
      <c r="P137">
        <v>0</v>
      </c>
      <c r="Q137" t="s">
        <v>208</v>
      </c>
    </row>
    <row r="138" spans="1:17" x14ac:dyDescent="0.25">
      <c r="A138">
        <v>137</v>
      </c>
      <c r="B138">
        <v>7</v>
      </c>
      <c r="C138" t="s">
        <v>136</v>
      </c>
      <c r="D138" t="s">
        <v>35</v>
      </c>
      <c r="E138">
        <v>0</v>
      </c>
      <c r="F138">
        <v>1</v>
      </c>
      <c r="G138" t="s">
        <v>137</v>
      </c>
      <c r="H138">
        <v>30</v>
      </c>
      <c r="I138" t="str">
        <f t="shared" si="6"/>
        <v xml:space="preserve">ETHAMBUTOL RESISTANCE </v>
      </c>
      <c r="J138" t="s">
        <v>37</v>
      </c>
      <c r="L138" s="1"/>
      <c r="N138">
        <v>1</v>
      </c>
      <c r="O138" s="4">
        <v>45203</v>
      </c>
      <c r="P138">
        <v>0</v>
      </c>
      <c r="Q138" t="s">
        <v>209</v>
      </c>
    </row>
    <row r="139" spans="1:17" x14ac:dyDescent="0.25">
      <c r="A139">
        <v>138</v>
      </c>
      <c r="B139">
        <v>7</v>
      </c>
      <c r="C139" t="s">
        <v>138</v>
      </c>
      <c r="D139" t="s">
        <v>35</v>
      </c>
      <c r="E139">
        <v>0</v>
      </c>
      <c r="F139">
        <v>1</v>
      </c>
      <c r="G139" t="s">
        <v>148</v>
      </c>
      <c r="H139">
        <v>31</v>
      </c>
      <c r="I139" t="str">
        <f t="shared" si="6"/>
        <v xml:space="preserve">ETHIONAMIDE RESISTANCE </v>
      </c>
      <c r="J139" t="s">
        <v>37</v>
      </c>
      <c r="L139" s="1"/>
      <c r="N139">
        <v>1</v>
      </c>
      <c r="O139" s="4">
        <v>45203</v>
      </c>
      <c r="P139">
        <v>0</v>
      </c>
      <c r="Q139" t="s">
        <v>210</v>
      </c>
    </row>
    <row r="140" spans="1:17" x14ac:dyDescent="0.25">
      <c r="A140">
        <v>139</v>
      </c>
      <c r="B140">
        <v>7</v>
      </c>
      <c r="C140" t="s">
        <v>139</v>
      </c>
      <c r="D140" t="s">
        <v>35</v>
      </c>
      <c r="E140">
        <v>0</v>
      </c>
      <c r="F140">
        <v>1</v>
      </c>
      <c r="G140" t="s">
        <v>149</v>
      </c>
      <c r="H140">
        <v>32</v>
      </c>
      <c r="I140" t="str">
        <f t="shared" si="6"/>
        <v xml:space="preserve">GATIFLOXACIN RESISTANCE </v>
      </c>
      <c r="J140" t="s">
        <v>37</v>
      </c>
      <c r="L140" s="1"/>
      <c r="N140">
        <v>1</v>
      </c>
      <c r="O140" s="4">
        <v>45203</v>
      </c>
      <c r="P140">
        <v>0</v>
      </c>
      <c r="Q140" t="s">
        <v>211</v>
      </c>
    </row>
    <row r="141" spans="1:17" x14ac:dyDescent="0.25">
      <c r="A141">
        <v>140</v>
      </c>
      <c r="B141">
        <v>7</v>
      </c>
      <c r="C141" t="s">
        <v>82</v>
      </c>
      <c r="D141" t="s">
        <v>35</v>
      </c>
      <c r="E141">
        <v>0</v>
      </c>
      <c r="F141">
        <v>1</v>
      </c>
      <c r="G141" t="s">
        <v>150</v>
      </c>
      <c r="H141">
        <v>33</v>
      </c>
      <c r="I141" t="str">
        <f t="shared" si="6"/>
        <v xml:space="preserve">ISONIAZID RESISTANCE </v>
      </c>
      <c r="J141" t="s">
        <v>37</v>
      </c>
      <c r="L141" s="1"/>
      <c r="N141">
        <v>1</v>
      </c>
      <c r="O141" s="4">
        <v>45203</v>
      </c>
      <c r="P141">
        <v>0</v>
      </c>
      <c r="Q141" t="s">
        <v>212</v>
      </c>
    </row>
    <row r="142" spans="1:17" x14ac:dyDescent="0.25">
      <c r="A142">
        <v>141</v>
      </c>
      <c r="B142">
        <v>7</v>
      </c>
      <c r="C142" t="s">
        <v>123</v>
      </c>
      <c r="D142" t="s">
        <v>35</v>
      </c>
      <c r="E142">
        <v>0</v>
      </c>
      <c r="F142">
        <v>1</v>
      </c>
      <c r="G142" s="7" t="s">
        <v>111</v>
      </c>
      <c r="H142">
        <v>35</v>
      </c>
      <c r="I142" t="str">
        <f t="shared" si="6"/>
        <v xml:space="preserve">KANAMYCIN RESISTANCE </v>
      </c>
      <c r="J142" t="s">
        <v>37</v>
      </c>
      <c r="L142" s="1"/>
      <c r="N142">
        <v>1</v>
      </c>
      <c r="O142" s="4">
        <v>45203</v>
      </c>
      <c r="P142">
        <v>0</v>
      </c>
      <c r="Q142" t="s">
        <v>213</v>
      </c>
    </row>
    <row r="143" spans="1:17" x14ac:dyDescent="0.25">
      <c r="A143">
        <v>142</v>
      </c>
      <c r="B143">
        <v>7</v>
      </c>
      <c r="C143" t="s">
        <v>115</v>
      </c>
      <c r="D143" t="s">
        <v>35</v>
      </c>
      <c r="E143">
        <v>0</v>
      </c>
      <c r="F143">
        <v>1</v>
      </c>
      <c r="G143" s="7" t="s">
        <v>103</v>
      </c>
      <c r="H143">
        <v>36</v>
      </c>
      <c r="I143" t="str">
        <f t="shared" si="6"/>
        <v xml:space="preserve">LEVOFLOXACIN RESISTANCE </v>
      </c>
      <c r="J143" t="s">
        <v>37</v>
      </c>
      <c r="L143" s="1"/>
      <c r="N143">
        <v>1</v>
      </c>
      <c r="O143" s="4">
        <v>45203</v>
      </c>
      <c r="P143">
        <v>0</v>
      </c>
      <c r="Q143" t="s">
        <v>214</v>
      </c>
    </row>
    <row r="144" spans="1:17" x14ac:dyDescent="0.25">
      <c r="A144">
        <v>143</v>
      </c>
      <c r="B144">
        <v>7</v>
      </c>
      <c r="C144" t="s">
        <v>117</v>
      </c>
      <c r="D144" t="s">
        <v>35</v>
      </c>
      <c r="E144">
        <v>0</v>
      </c>
      <c r="F144">
        <v>1</v>
      </c>
      <c r="G144" t="s">
        <v>105</v>
      </c>
      <c r="H144">
        <v>47</v>
      </c>
      <c r="I144" t="str">
        <f t="shared" si="6"/>
        <v xml:space="preserve">LINEZOLID RESISTANCE </v>
      </c>
      <c r="J144" t="s">
        <v>37</v>
      </c>
      <c r="L144" s="1"/>
      <c r="N144">
        <v>1</v>
      </c>
      <c r="O144" s="4">
        <v>45203</v>
      </c>
      <c r="P144">
        <v>0</v>
      </c>
      <c r="Q144" t="s">
        <v>215</v>
      </c>
    </row>
    <row r="145" spans="1:17" x14ac:dyDescent="0.25">
      <c r="A145">
        <v>144</v>
      </c>
      <c r="B145">
        <v>7</v>
      </c>
      <c r="C145" t="s">
        <v>114</v>
      </c>
      <c r="D145" t="s">
        <v>35</v>
      </c>
      <c r="E145">
        <v>0</v>
      </c>
      <c r="F145">
        <v>1</v>
      </c>
      <c r="G145" s="7" t="s">
        <v>102</v>
      </c>
      <c r="H145">
        <v>38</v>
      </c>
      <c r="I145" t="str">
        <f t="shared" si="6"/>
        <v xml:space="preserve">MOXIFLOXACIN RESISTANCE </v>
      </c>
      <c r="J145" t="s">
        <v>37</v>
      </c>
      <c r="L145" s="1"/>
      <c r="N145">
        <v>1</v>
      </c>
      <c r="O145" s="4">
        <v>45203</v>
      </c>
      <c r="P145">
        <v>0</v>
      </c>
      <c r="Q145" t="s">
        <v>219</v>
      </c>
    </row>
    <row r="146" spans="1:17" x14ac:dyDescent="0.25">
      <c r="A146">
        <v>145</v>
      </c>
      <c r="B146">
        <v>7</v>
      </c>
      <c r="C146" t="s">
        <v>113</v>
      </c>
      <c r="D146" t="s">
        <v>35</v>
      </c>
      <c r="E146">
        <v>0</v>
      </c>
      <c r="F146">
        <v>1</v>
      </c>
      <c r="G146" s="7" t="s">
        <v>101</v>
      </c>
      <c r="H146">
        <v>39</v>
      </c>
      <c r="I146" t="str">
        <f t="shared" si="6"/>
        <v xml:space="preserve">OFLOXACIN RESISTANCE </v>
      </c>
      <c r="J146" t="s">
        <v>37</v>
      </c>
      <c r="L146" s="1"/>
      <c r="N146">
        <v>1</v>
      </c>
      <c r="O146" s="4">
        <v>45203</v>
      </c>
      <c r="P146">
        <v>0</v>
      </c>
      <c r="Q146" t="s">
        <v>220</v>
      </c>
    </row>
    <row r="147" spans="1:17" x14ac:dyDescent="0.25">
      <c r="A147">
        <v>146</v>
      </c>
      <c r="B147">
        <v>7</v>
      </c>
      <c r="C147" t="s">
        <v>147</v>
      </c>
      <c r="D147" t="s">
        <v>35</v>
      </c>
      <c r="E147">
        <v>0</v>
      </c>
      <c r="F147">
        <v>1</v>
      </c>
      <c r="G147" s="7" t="s">
        <v>412</v>
      </c>
      <c r="H147">
        <v>40</v>
      </c>
      <c r="I147" t="str">
        <f t="shared" si="6"/>
        <v xml:space="preserve">OTHER RESISTANCE </v>
      </c>
      <c r="J147" t="s">
        <v>37</v>
      </c>
      <c r="L147" s="1"/>
      <c r="N147">
        <v>1</v>
      </c>
      <c r="O147" s="4">
        <v>45203</v>
      </c>
      <c r="P147">
        <v>0</v>
      </c>
      <c r="Q147" t="s">
        <v>221</v>
      </c>
    </row>
    <row r="148" spans="1:17" x14ac:dyDescent="0.25">
      <c r="A148">
        <v>147</v>
      </c>
      <c r="B148">
        <v>7</v>
      </c>
      <c r="C148" t="s">
        <v>121</v>
      </c>
      <c r="D148" t="s">
        <v>35</v>
      </c>
      <c r="E148">
        <v>0</v>
      </c>
      <c r="F148">
        <v>1</v>
      </c>
      <c r="G148" s="7" t="s">
        <v>109</v>
      </c>
      <c r="H148">
        <v>41</v>
      </c>
      <c r="I148" t="str">
        <f t="shared" si="6"/>
        <v xml:space="preserve">P-AMINOSALICY RESISTANCE </v>
      </c>
      <c r="J148" t="s">
        <v>37</v>
      </c>
      <c r="L148" s="1"/>
      <c r="N148">
        <v>1</v>
      </c>
      <c r="O148" s="4">
        <v>45203</v>
      </c>
      <c r="P148">
        <v>0</v>
      </c>
      <c r="Q148" t="s">
        <v>222</v>
      </c>
    </row>
    <row r="149" spans="1:17" x14ac:dyDescent="0.25">
      <c r="A149">
        <v>148</v>
      </c>
      <c r="B149">
        <v>7</v>
      </c>
      <c r="C149" t="s">
        <v>116</v>
      </c>
      <c r="D149" t="s">
        <v>35</v>
      </c>
      <c r="E149">
        <v>0</v>
      </c>
      <c r="F149">
        <v>1</v>
      </c>
      <c r="G149" s="7" t="s">
        <v>104</v>
      </c>
      <c r="H149">
        <v>42</v>
      </c>
      <c r="I149" t="str">
        <f t="shared" si="6"/>
        <v xml:space="preserve">PROTHIONAMIDE RESISTANCE </v>
      </c>
      <c r="J149" t="s">
        <v>37</v>
      </c>
      <c r="L149" s="1"/>
      <c r="N149">
        <v>1</v>
      </c>
      <c r="O149" s="4">
        <v>45203</v>
      </c>
      <c r="P149">
        <v>0</v>
      </c>
      <c r="Q149" t="s">
        <v>223</v>
      </c>
    </row>
    <row r="150" spans="1:17" x14ac:dyDescent="0.25">
      <c r="A150">
        <v>149</v>
      </c>
      <c r="B150">
        <v>7</v>
      </c>
      <c r="C150" t="s">
        <v>140</v>
      </c>
      <c r="D150" t="s">
        <v>35</v>
      </c>
      <c r="E150">
        <v>0</v>
      </c>
      <c r="F150">
        <v>1</v>
      </c>
      <c r="G150" t="s">
        <v>155</v>
      </c>
      <c r="H150">
        <v>43</v>
      </c>
      <c r="I150" t="str">
        <f t="shared" si="6"/>
        <v xml:space="preserve">PYRAZINAMIDE RESISTANCE </v>
      </c>
      <c r="J150" t="s">
        <v>37</v>
      </c>
      <c r="L150" s="1"/>
      <c r="N150">
        <v>1</v>
      </c>
      <c r="O150" s="4">
        <v>45203</v>
      </c>
      <c r="P150">
        <v>0</v>
      </c>
      <c r="Q150" t="s">
        <v>224</v>
      </c>
    </row>
    <row r="151" spans="1:17" x14ac:dyDescent="0.25">
      <c r="A151">
        <v>150</v>
      </c>
      <c r="B151">
        <v>7</v>
      </c>
      <c r="C151" t="s">
        <v>141</v>
      </c>
      <c r="D151" t="s">
        <v>35</v>
      </c>
      <c r="E151">
        <v>0</v>
      </c>
      <c r="F151">
        <v>1</v>
      </c>
      <c r="G151" t="s">
        <v>151</v>
      </c>
      <c r="H151">
        <v>44</v>
      </c>
      <c r="I151" t="str">
        <f t="shared" si="6"/>
        <v xml:space="preserve">PYRIDOXINE RESISTANCE </v>
      </c>
      <c r="J151" t="s">
        <v>37</v>
      </c>
      <c r="L151" s="1"/>
      <c r="N151">
        <v>1</v>
      </c>
      <c r="O151" s="4">
        <v>45203</v>
      </c>
      <c r="P151">
        <v>0</v>
      </c>
      <c r="Q151" t="s">
        <v>225</v>
      </c>
    </row>
    <row r="152" spans="1:17" x14ac:dyDescent="0.25">
      <c r="A152">
        <v>151</v>
      </c>
      <c r="B152">
        <v>7</v>
      </c>
      <c r="C152" t="s">
        <v>142</v>
      </c>
      <c r="D152" t="s">
        <v>35</v>
      </c>
      <c r="E152">
        <v>0</v>
      </c>
      <c r="F152">
        <v>1</v>
      </c>
      <c r="G152" t="s">
        <v>411</v>
      </c>
      <c r="H152">
        <v>45</v>
      </c>
      <c r="I152" t="str">
        <f t="shared" si="6"/>
        <v xml:space="preserve">RIFABUTIN RESISTANCE </v>
      </c>
      <c r="J152" t="s">
        <v>37</v>
      </c>
      <c r="L152" s="1"/>
      <c r="N152">
        <v>1</v>
      </c>
      <c r="O152" s="4">
        <v>45203</v>
      </c>
      <c r="P152">
        <v>0</v>
      </c>
      <c r="Q152" t="s">
        <v>226</v>
      </c>
    </row>
    <row r="153" spans="1:17" x14ac:dyDescent="0.25">
      <c r="A153">
        <v>152</v>
      </c>
      <c r="B153">
        <v>7</v>
      </c>
      <c r="C153" t="s">
        <v>61</v>
      </c>
      <c r="D153" t="s">
        <v>35</v>
      </c>
      <c r="E153">
        <v>0</v>
      </c>
      <c r="F153">
        <v>1</v>
      </c>
      <c r="G153" t="s">
        <v>153</v>
      </c>
      <c r="H153">
        <v>46</v>
      </c>
      <c r="I153" t="str">
        <f t="shared" si="6"/>
        <v xml:space="preserve">RIFAMPICIN RESISTANCE </v>
      </c>
      <c r="J153" t="s">
        <v>37</v>
      </c>
      <c r="L153" s="1"/>
      <c r="N153">
        <v>1</v>
      </c>
      <c r="O153" s="4">
        <v>45203</v>
      </c>
      <c r="P153">
        <v>0</v>
      </c>
      <c r="Q153" t="s">
        <v>227</v>
      </c>
    </row>
    <row r="154" spans="1:17" x14ac:dyDescent="0.25">
      <c r="A154">
        <v>153</v>
      </c>
      <c r="B154">
        <v>7</v>
      </c>
      <c r="C154" t="s">
        <v>143</v>
      </c>
      <c r="D154" t="s">
        <v>35</v>
      </c>
      <c r="E154">
        <v>0</v>
      </c>
      <c r="F154">
        <v>1</v>
      </c>
      <c r="G154" t="s">
        <v>154</v>
      </c>
      <c r="H154">
        <v>37</v>
      </c>
      <c r="I154" t="str">
        <f t="shared" si="6"/>
        <v xml:space="preserve">STREPTOMYCIN RESISTANCE </v>
      </c>
      <c r="J154" t="s">
        <v>37</v>
      </c>
      <c r="L154" s="1"/>
      <c r="N154">
        <v>1</v>
      </c>
      <c r="O154" s="4">
        <v>45203</v>
      </c>
      <c r="P154">
        <v>0</v>
      </c>
      <c r="Q154" t="s">
        <v>228</v>
      </c>
    </row>
    <row r="155" spans="1:17" x14ac:dyDescent="0.25">
      <c r="A155">
        <v>154</v>
      </c>
      <c r="B155">
        <v>7</v>
      </c>
      <c r="C155" t="s">
        <v>144</v>
      </c>
      <c r="D155" t="s">
        <v>35</v>
      </c>
      <c r="E155">
        <v>0</v>
      </c>
      <c r="F155">
        <v>1</v>
      </c>
      <c r="G155" t="s">
        <v>151</v>
      </c>
      <c r="H155">
        <v>38</v>
      </c>
      <c r="I155" t="str">
        <f t="shared" si="6"/>
        <v xml:space="preserve">TERIZIDONE RESISTANCE </v>
      </c>
      <c r="J155" t="s">
        <v>37</v>
      </c>
      <c r="L155" s="1"/>
      <c r="N155">
        <v>1</v>
      </c>
      <c r="O155" s="4">
        <v>45203</v>
      </c>
      <c r="P155">
        <v>0</v>
      </c>
      <c r="Q155" t="s">
        <v>229</v>
      </c>
    </row>
    <row r="156" spans="1:17" x14ac:dyDescent="0.25">
      <c r="A156">
        <v>155</v>
      </c>
      <c r="B156">
        <v>7</v>
      </c>
      <c r="C156" t="s">
        <v>145</v>
      </c>
      <c r="D156" t="s">
        <v>35</v>
      </c>
      <c r="E156">
        <v>0</v>
      </c>
      <c r="F156">
        <v>1</v>
      </c>
      <c r="G156" t="s">
        <v>152</v>
      </c>
      <c r="H156">
        <v>39</v>
      </c>
      <c r="I156" t="str">
        <f t="shared" si="6"/>
        <v xml:space="preserve">THIOACETAZONE RESISTANCE </v>
      </c>
      <c r="J156" t="s">
        <v>37</v>
      </c>
      <c r="L156" s="1"/>
      <c r="N156">
        <v>1</v>
      </c>
      <c r="O156" s="4">
        <v>45203</v>
      </c>
      <c r="P156">
        <v>0</v>
      </c>
      <c r="Q156" t="s">
        <v>230</v>
      </c>
    </row>
    <row r="157" spans="1:17" x14ac:dyDescent="0.25">
      <c r="A157">
        <v>156</v>
      </c>
      <c r="B157">
        <v>7</v>
      </c>
      <c r="C157" t="s">
        <v>146</v>
      </c>
      <c r="D157" t="s">
        <v>35</v>
      </c>
      <c r="E157">
        <v>0</v>
      </c>
      <c r="F157">
        <v>1</v>
      </c>
      <c r="G157" t="s">
        <v>156</v>
      </c>
      <c r="H157">
        <v>40</v>
      </c>
      <c r="I157" t="str">
        <f t="shared" si="6"/>
        <v xml:space="preserve">VIOMYCIN RESISTANCE </v>
      </c>
      <c r="J157" t="s">
        <v>37</v>
      </c>
      <c r="L157" s="1"/>
      <c r="N157">
        <v>1</v>
      </c>
      <c r="O157" s="4">
        <v>45203</v>
      </c>
      <c r="P157">
        <v>0</v>
      </c>
      <c r="Q157" t="s">
        <v>231</v>
      </c>
    </row>
    <row r="158" spans="1:17" x14ac:dyDescent="0.25">
      <c r="A158">
        <v>157</v>
      </c>
      <c r="B158">
        <v>8</v>
      </c>
      <c r="C158" t="s">
        <v>83</v>
      </c>
      <c r="D158" t="s">
        <v>39</v>
      </c>
      <c r="E158">
        <v>0</v>
      </c>
      <c r="F158">
        <v>1</v>
      </c>
      <c r="G158" t="s">
        <v>40</v>
      </c>
      <c r="H158">
        <v>1</v>
      </c>
      <c r="I158" t="str">
        <f t="shared" ref="I158:I175" si="7">C158 &amp; " " &amp;L158</f>
        <v xml:space="preserve">DATE COLLECTED </v>
      </c>
      <c r="J158" t="s">
        <v>41</v>
      </c>
      <c r="N158">
        <v>1</v>
      </c>
      <c r="O158" s="4">
        <v>45203</v>
      </c>
      <c r="P158">
        <v>0</v>
      </c>
      <c r="Q158" t="s">
        <v>232</v>
      </c>
    </row>
    <row r="159" spans="1:17" x14ac:dyDescent="0.25">
      <c r="A159">
        <v>158</v>
      </c>
      <c r="B159">
        <v>8</v>
      </c>
      <c r="C159" t="s">
        <v>42</v>
      </c>
      <c r="D159" t="s">
        <v>39</v>
      </c>
      <c r="E159">
        <v>0</v>
      </c>
      <c r="F159">
        <v>1</v>
      </c>
      <c r="H159">
        <v>2</v>
      </c>
      <c r="I159" t="str">
        <f t="shared" si="7"/>
        <v xml:space="preserve">INVESTIGATION DATE </v>
      </c>
      <c r="J159" t="s">
        <v>41</v>
      </c>
      <c r="N159">
        <v>1</v>
      </c>
      <c r="O159" s="4">
        <v>45203</v>
      </c>
      <c r="P159">
        <v>0</v>
      </c>
      <c r="Q159" t="s">
        <v>233</v>
      </c>
    </row>
    <row r="160" spans="1:17" x14ac:dyDescent="0.25">
      <c r="A160">
        <v>159</v>
      </c>
      <c r="B160">
        <v>8</v>
      </c>
      <c r="C160" t="s">
        <v>47</v>
      </c>
      <c r="D160" t="s">
        <v>48</v>
      </c>
      <c r="E160">
        <v>0</v>
      </c>
      <c r="F160">
        <v>1</v>
      </c>
      <c r="G160" t="s">
        <v>129</v>
      </c>
      <c r="H160">
        <v>3</v>
      </c>
      <c r="I160" t="str">
        <f t="shared" si="7"/>
        <v xml:space="preserve">LABORATORY INVESTIGATION NUMBER </v>
      </c>
      <c r="J160" t="s">
        <v>50</v>
      </c>
      <c r="N160">
        <v>1</v>
      </c>
      <c r="O160" s="4">
        <v>45203</v>
      </c>
      <c r="P160">
        <v>0</v>
      </c>
      <c r="Q160" t="s">
        <v>234</v>
      </c>
    </row>
    <row r="161" spans="1:17" x14ac:dyDescent="0.25">
      <c r="A161">
        <v>160</v>
      </c>
      <c r="B161">
        <v>8</v>
      </c>
      <c r="C161" t="s">
        <v>53</v>
      </c>
      <c r="D161" t="s">
        <v>35</v>
      </c>
      <c r="E161">
        <v>0</v>
      </c>
      <c r="F161">
        <v>1</v>
      </c>
      <c r="G161" t="s">
        <v>54</v>
      </c>
      <c r="H161">
        <v>4</v>
      </c>
      <c r="I161" t="str">
        <f t="shared" si="7"/>
        <v xml:space="preserve">PURPOSE OF INVESTIGATION </v>
      </c>
      <c r="J161" t="s">
        <v>37</v>
      </c>
      <c r="N161">
        <v>1</v>
      </c>
      <c r="O161" s="4">
        <v>45203</v>
      </c>
      <c r="P161">
        <v>0</v>
      </c>
      <c r="Q161" t="s">
        <v>235</v>
      </c>
    </row>
    <row r="162" spans="1:17" x14ac:dyDescent="0.25">
      <c r="A162">
        <v>161</v>
      </c>
      <c r="B162">
        <v>8</v>
      </c>
      <c r="C162" t="s">
        <v>56</v>
      </c>
      <c r="D162" t="s">
        <v>57</v>
      </c>
      <c r="E162">
        <v>0</v>
      </c>
      <c r="F162">
        <v>1</v>
      </c>
      <c r="H162">
        <v>5</v>
      </c>
      <c r="I162" t="str">
        <f t="shared" si="7"/>
        <v xml:space="preserve">REFERRING FACILITY </v>
      </c>
      <c r="J162" t="s">
        <v>58</v>
      </c>
      <c r="N162">
        <v>1</v>
      </c>
      <c r="O162" s="4">
        <v>45203</v>
      </c>
      <c r="P162">
        <v>0</v>
      </c>
      <c r="Q162" t="s">
        <v>236</v>
      </c>
    </row>
    <row r="163" spans="1:17" x14ac:dyDescent="0.25">
      <c r="A163">
        <v>162</v>
      </c>
      <c r="B163">
        <v>8</v>
      </c>
      <c r="C163" t="s">
        <v>59</v>
      </c>
      <c r="D163" t="s">
        <v>35</v>
      </c>
      <c r="E163">
        <v>0</v>
      </c>
      <c r="F163">
        <v>1</v>
      </c>
      <c r="G163" t="s">
        <v>60</v>
      </c>
      <c r="H163">
        <v>6</v>
      </c>
      <c r="I163" t="str">
        <f t="shared" si="7"/>
        <v xml:space="preserve">REQUESTING MEDICAL FACILITY </v>
      </c>
      <c r="J163" t="s">
        <v>37</v>
      </c>
      <c r="N163">
        <v>1</v>
      </c>
      <c r="O163" s="4">
        <v>45203</v>
      </c>
      <c r="P163">
        <v>0</v>
      </c>
      <c r="Q163" t="s">
        <v>237</v>
      </c>
    </row>
    <row r="164" spans="1:17" x14ac:dyDescent="0.25">
      <c r="A164">
        <v>163</v>
      </c>
      <c r="B164">
        <v>8</v>
      </c>
      <c r="C164" t="s">
        <v>80</v>
      </c>
      <c r="D164" t="s">
        <v>35</v>
      </c>
      <c r="E164">
        <v>0</v>
      </c>
      <c r="F164">
        <v>1</v>
      </c>
      <c r="G164" t="s">
        <v>84</v>
      </c>
      <c r="H164">
        <v>7</v>
      </c>
      <c r="I164" t="str">
        <f t="shared" si="7"/>
        <v xml:space="preserve">TUBERCULOSIS SAMPLE SOURCE </v>
      </c>
      <c r="J164" t="s">
        <v>37</v>
      </c>
      <c r="N164">
        <v>1</v>
      </c>
      <c r="O164" s="4">
        <v>45203</v>
      </c>
      <c r="P164">
        <v>0</v>
      </c>
      <c r="Q164" t="s">
        <v>238</v>
      </c>
    </row>
    <row r="165" spans="1:17" x14ac:dyDescent="0.25">
      <c r="A165">
        <v>164</v>
      </c>
      <c r="B165">
        <v>8</v>
      </c>
      <c r="C165" t="s">
        <v>38</v>
      </c>
      <c r="D165" t="s">
        <v>39</v>
      </c>
      <c r="E165">
        <v>0</v>
      </c>
      <c r="F165">
        <v>1</v>
      </c>
      <c r="H165">
        <v>8</v>
      </c>
      <c r="I165" t="str">
        <f t="shared" si="7"/>
        <v xml:space="preserve">DATE OF REQUEST FOR LABORATORY INVESTIGATION </v>
      </c>
      <c r="J165" t="s">
        <v>41</v>
      </c>
      <c r="N165">
        <v>1</v>
      </c>
      <c r="O165" s="4">
        <v>45203</v>
      </c>
      <c r="P165">
        <v>0</v>
      </c>
      <c r="Q165" t="s">
        <v>239</v>
      </c>
    </row>
    <row r="166" spans="1:17" x14ac:dyDescent="0.25">
      <c r="A166">
        <v>165</v>
      </c>
      <c r="B166">
        <v>8</v>
      </c>
      <c r="C166" t="s">
        <v>43</v>
      </c>
      <c r="D166" t="s">
        <v>44</v>
      </c>
      <c r="E166">
        <v>0</v>
      </c>
      <c r="F166">
        <v>1</v>
      </c>
      <c r="G166" t="s">
        <v>45</v>
      </c>
      <c r="H166">
        <v>9</v>
      </c>
      <c r="I166" t="str">
        <f t="shared" si="7"/>
        <v xml:space="preserve">LAB SPECIALIST NAME </v>
      </c>
      <c r="J166" t="s">
        <v>46</v>
      </c>
      <c r="N166">
        <v>1</v>
      </c>
      <c r="O166" s="4">
        <v>45203</v>
      </c>
      <c r="P166">
        <v>0</v>
      </c>
      <c r="Q166" t="s">
        <v>240</v>
      </c>
    </row>
    <row r="167" spans="1:17" x14ac:dyDescent="0.25">
      <c r="A167">
        <v>166</v>
      </c>
      <c r="B167">
        <v>8</v>
      </c>
      <c r="C167" t="s">
        <v>55</v>
      </c>
      <c r="D167" t="s">
        <v>44</v>
      </c>
      <c r="E167">
        <v>0</v>
      </c>
      <c r="F167">
        <v>1</v>
      </c>
      <c r="G167" t="s">
        <v>45</v>
      </c>
      <c r="H167">
        <v>10</v>
      </c>
      <c r="I167" t="str">
        <f t="shared" si="7"/>
        <v xml:space="preserve">REFERRED BY </v>
      </c>
      <c r="J167" t="s">
        <v>46</v>
      </c>
      <c r="N167">
        <v>1</v>
      </c>
      <c r="O167" s="4">
        <v>45203</v>
      </c>
      <c r="P167">
        <v>0</v>
      </c>
      <c r="Q167" t="s">
        <v>241</v>
      </c>
    </row>
    <row r="168" spans="1:17" x14ac:dyDescent="0.25">
      <c r="A168">
        <v>167</v>
      </c>
      <c r="B168">
        <v>8</v>
      </c>
      <c r="C168" t="s">
        <v>216</v>
      </c>
      <c r="D168" t="s">
        <v>44</v>
      </c>
      <c r="E168">
        <v>0</v>
      </c>
      <c r="F168">
        <v>1</v>
      </c>
      <c r="G168" t="s">
        <v>45</v>
      </c>
      <c r="H168">
        <v>11</v>
      </c>
      <c r="I168" t="str">
        <f t="shared" si="7"/>
        <v xml:space="preserve">TUBERCULOSIS SPECIMEN ID </v>
      </c>
      <c r="J168" t="s">
        <v>46</v>
      </c>
      <c r="N168">
        <v>1</v>
      </c>
      <c r="O168" s="4">
        <v>45203</v>
      </c>
      <c r="P168">
        <v>0</v>
      </c>
      <c r="Q168" t="s">
        <v>242</v>
      </c>
    </row>
    <row r="169" spans="1:17" x14ac:dyDescent="0.25">
      <c r="A169">
        <v>168</v>
      </c>
      <c r="B169">
        <v>8</v>
      </c>
      <c r="C169" t="s">
        <v>217</v>
      </c>
      <c r="D169" t="s">
        <v>48</v>
      </c>
      <c r="E169">
        <v>0</v>
      </c>
      <c r="F169">
        <v>1</v>
      </c>
      <c r="G169" t="s">
        <v>49</v>
      </c>
      <c r="H169">
        <v>12</v>
      </c>
      <c r="I169" t="str">
        <f t="shared" si="7"/>
        <v xml:space="preserve">MONTH OF TREATMENT </v>
      </c>
      <c r="J169" t="s">
        <v>50</v>
      </c>
      <c r="N169">
        <v>1</v>
      </c>
      <c r="O169" s="4">
        <v>45203</v>
      </c>
      <c r="P169">
        <v>0</v>
      </c>
      <c r="Q169" t="s">
        <v>243</v>
      </c>
    </row>
    <row r="170" spans="1:17" x14ac:dyDescent="0.25">
      <c r="A170">
        <v>169</v>
      </c>
      <c r="B170">
        <v>8</v>
      </c>
      <c r="C170" t="s">
        <v>218</v>
      </c>
      <c r="D170" t="s">
        <v>48</v>
      </c>
      <c r="E170">
        <v>0</v>
      </c>
      <c r="F170">
        <v>1</v>
      </c>
      <c r="G170" t="s">
        <v>49</v>
      </c>
      <c r="H170">
        <v>13</v>
      </c>
      <c r="I170" t="str">
        <f t="shared" si="7"/>
        <v xml:space="preserve">PATIENT PROGRAM ID </v>
      </c>
      <c r="J170" t="s">
        <v>50</v>
      </c>
      <c r="N170">
        <v>1</v>
      </c>
      <c r="O170" s="4">
        <v>45203</v>
      </c>
      <c r="P170">
        <v>0</v>
      </c>
      <c r="Q170" t="s">
        <v>244</v>
      </c>
    </row>
    <row r="171" spans="1:17" x14ac:dyDescent="0.25">
      <c r="A171">
        <v>170</v>
      </c>
      <c r="B171">
        <v>8</v>
      </c>
      <c r="C171" t="s">
        <v>98</v>
      </c>
      <c r="D171" t="s">
        <v>99</v>
      </c>
      <c r="E171">
        <v>0</v>
      </c>
      <c r="F171">
        <v>1</v>
      </c>
      <c r="H171">
        <v>14</v>
      </c>
      <c r="I171" t="str">
        <f t="shared" si="7"/>
        <v xml:space="preserve">DIRECT/INDIRECT </v>
      </c>
      <c r="J171" t="s">
        <v>100</v>
      </c>
      <c r="L171" s="1"/>
      <c r="N171">
        <v>1</v>
      </c>
      <c r="O171" s="4">
        <v>45203</v>
      </c>
      <c r="P171">
        <v>0</v>
      </c>
      <c r="Q171" t="s">
        <v>245</v>
      </c>
    </row>
    <row r="172" spans="1:17" x14ac:dyDescent="0.25">
      <c r="A172">
        <v>171</v>
      </c>
      <c r="B172">
        <v>8</v>
      </c>
      <c r="C172" t="s">
        <v>92</v>
      </c>
      <c r="D172" t="s">
        <v>35</v>
      </c>
      <c r="E172">
        <v>0</v>
      </c>
      <c r="F172">
        <v>1</v>
      </c>
      <c r="G172" t="s">
        <v>95</v>
      </c>
      <c r="H172">
        <v>15</v>
      </c>
      <c r="I172" t="str">
        <f t="shared" si="7"/>
        <v xml:space="preserve">TYPE OF ORGANISM </v>
      </c>
      <c r="J172" t="s">
        <v>37</v>
      </c>
      <c r="L172" s="1"/>
      <c r="N172">
        <v>1</v>
      </c>
      <c r="O172" s="4">
        <v>45203</v>
      </c>
      <c r="P172">
        <v>0</v>
      </c>
      <c r="Q172" t="s">
        <v>246</v>
      </c>
    </row>
    <row r="173" spans="1:17" x14ac:dyDescent="0.25">
      <c r="A173">
        <v>172</v>
      </c>
      <c r="B173">
        <v>8</v>
      </c>
      <c r="C173" t="s">
        <v>93</v>
      </c>
      <c r="D173" t="s">
        <v>44</v>
      </c>
      <c r="E173">
        <v>0</v>
      </c>
      <c r="F173">
        <v>1</v>
      </c>
      <c r="G173" t="s">
        <v>45</v>
      </c>
      <c r="H173">
        <v>16</v>
      </c>
      <c r="I173" t="str">
        <f t="shared" si="7"/>
        <v xml:space="preserve">TYPE OF ORGANISM NON-CODED </v>
      </c>
      <c r="J173" t="s">
        <v>46</v>
      </c>
      <c r="L173" s="1"/>
      <c r="N173">
        <v>1</v>
      </c>
      <c r="O173" s="4">
        <v>45203</v>
      </c>
      <c r="P173">
        <v>0</v>
      </c>
      <c r="Q173" t="s">
        <v>247</v>
      </c>
    </row>
    <row r="174" spans="1:17" x14ac:dyDescent="0.25">
      <c r="A174">
        <v>173</v>
      </c>
      <c r="B174">
        <v>8</v>
      </c>
      <c r="C174" t="s">
        <v>89</v>
      </c>
      <c r="D174" t="s">
        <v>48</v>
      </c>
      <c r="E174">
        <v>0</v>
      </c>
      <c r="F174">
        <v>1</v>
      </c>
      <c r="G174" t="s">
        <v>49</v>
      </c>
      <c r="H174">
        <v>17</v>
      </c>
      <c r="I174" t="str">
        <f t="shared" si="7"/>
        <v xml:space="preserve">COLONIES </v>
      </c>
      <c r="J174" t="s">
        <v>50</v>
      </c>
      <c r="L174" s="1"/>
      <c r="N174">
        <v>1</v>
      </c>
      <c r="O174" s="4">
        <v>45203</v>
      </c>
      <c r="P174">
        <v>0</v>
      </c>
      <c r="Q174" t="s">
        <v>248</v>
      </c>
    </row>
    <row r="175" spans="1:17" x14ac:dyDescent="0.25">
      <c r="A175">
        <v>174</v>
      </c>
      <c r="B175">
        <v>8</v>
      </c>
      <c r="C175" t="s">
        <v>125</v>
      </c>
      <c r="D175" t="s">
        <v>48</v>
      </c>
      <c r="E175">
        <v>0</v>
      </c>
      <c r="F175">
        <v>1</v>
      </c>
      <c r="G175" t="s">
        <v>49</v>
      </c>
      <c r="H175">
        <v>18</v>
      </c>
      <c r="I175" t="str">
        <f t="shared" si="7"/>
        <v xml:space="preserve">CONCENTRATION </v>
      </c>
      <c r="J175" t="s">
        <v>50</v>
      </c>
      <c r="L175" s="1"/>
      <c r="N175">
        <v>1</v>
      </c>
      <c r="O175" s="4">
        <v>45203</v>
      </c>
      <c r="P175">
        <v>0</v>
      </c>
      <c r="Q175" t="s">
        <v>249</v>
      </c>
    </row>
    <row r="176" spans="1:17" x14ac:dyDescent="0.25">
      <c r="A176">
        <v>175</v>
      </c>
      <c r="B176">
        <v>8</v>
      </c>
      <c r="C176" t="s">
        <v>126</v>
      </c>
      <c r="D176" t="s">
        <v>48</v>
      </c>
      <c r="E176">
        <v>0</v>
      </c>
      <c r="F176">
        <v>1</v>
      </c>
      <c r="G176" t="s">
        <v>49</v>
      </c>
      <c r="H176">
        <v>19</v>
      </c>
      <c r="I176" t="str">
        <f t="shared" ref="I176:I205" si="8">C176 &amp; " " &amp;L176</f>
        <v xml:space="preserve">COLONIES IN CONTROL </v>
      </c>
      <c r="J176" t="s">
        <v>50</v>
      </c>
      <c r="L176" s="1"/>
      <c r="N176">
        <v>1</v>
      </c>
      <c r="O176" s="4">
        <v>45203</v>
      </c>
      <c r="P176">
        <v>0</v>
      </c>
      <c r="Q176" t="s">
        <v>250</v>
      </c>
    </row>
    <row r="177" spans="1:17" x14ac:dyDescent="0.25">
      <c r="A177">
        <v>176</v>
      </c>
      <c r="B177">
        <v>8</v>
      </c>
      <c r="C177" s="7" t="s">
        <v>127</v>
      </c>
      <c r="D177" t="s">
        <v>35</v>
      </c>
      <c r="E177">
        <v>0</v>
      </c>
      <c r="F177">
        <v>1</v>
      </c>
      <c r="G177" s="7" t="s">
        <v>128</v>
      </c>
      <c r="H177">
        <v>20</v>
      </c>
      <c r="I177" t="str">
        <f t="shared" si="8"/>
        <v xml:space="preserve">TUBERCULOSIS DRUG SENSITIVITY TEST METHOD </v>
      </c>
      <c r="J177" t="s">
        <v>37</v>
      </c>
      <c r="L177" s="1"/>
      <c r="N177">
        <v>1</v>
      </c>
      <c r="O177" s="4">
        <v>45203</v>
      </c>
      <c r="P177">
        <v>0</v>
      </c>
      <c r="Q177" t="s">
        <v>251</v>
      </c>
    </row>
    <row r="178" spans="1:17" x14ac:dyDescent="0.25">
      <c r="A178">
        <v>177</v>
      </c>
      <c r="B178">
        <v>8</v>
      </c>
      <c r="C178" t="s">
        <v>124</v>
      </c>
      <c r="D178" t="s">
        <v>35</v>
      </c>
      <c r="E178">
        <v>0</v>
      </c>
      <c r="F178">
        <v>1</v>
      </c>
      <c r="G178" s="7" t="s">
        <v>112</v>
      </c>
      <c r="H178">
        <v>21</v>
      </c>
      <c r="I178" t="str">
        <f t="shared" si="8"/>
        <v xml:space="preserve">AMIKACIN RESISTANCE </v>
      </c>
      <c r="J178" t="s">
        <v>37</v>
      </c>
      <c r="L178" s="1"/>
      <c r="N178">
        <v>1</v>
      </c>
      <c r="O178" s="4">
        <v>45203</v>
      </c>
      <c r="P178">
        <v>0</v>
      </c>
      <c r="Q178" t="s">
        <v>252</v>
      </c>
    </row>
    <row r="179" spans="1:17" x14ac:dyDescent="0.25">
      <c r="A179">
        <v>178</v>
      </c>
      <c r="B179">
        <v>8</v>
      </c>
      <c r="C179" t="s">
        <v>119</v>
      </c>
      <c r="D179" t="s">
        <v>35</v>
      </c>
      <c r="E179">
        <v>0</v>
      </c>
      <c r="F179">
        <v>1</v>
      </c>
      <c r="G179" s="7" t="s">
        <v>107</v>
      </c>
      <c r="H179">
        <v>22</v>
      </c>
      <c r="I179" t="str">
        <f t="shared" si="8"/>
        <v xml:space="preserve">BEDAQUILINE RESISTANCE </v>
      </c>
      <c r="J179" t="s">
        <v>37</v>
      </c>
      <c r="L179" s="1"/>
      <c r="N179">
        <v>1</v>
      </c>
      <c r="O179" s="4">
        <v>45203</v>
      </c>
      <c r="P179">
        <v>0</v>
      </c>
      <c r="Q179" t="s">
        <v>253</v>
      </c>
    </row>
    <row r="180" spans="1:17" x14ac:dyDescent="0.25">
      <c r="A180">
        <v>179</v>
      </c>
      <c r="B180">
        <v>8</v>
      </c>
      <c r="C180" t="s">
        <v>122</v>
      </c>
      <c r="D180" t="s">
        <v>35</v>
      </c>
      <c r="E180">
        <v>0</v>
      </c>
      <c r="F180">
        <v>1</v>
      </c>
      <c r="G180" s="7" t="s">
        <v>110</v>
      </c>
      <c r="H180">
        <v>23</v>
      </c>
      <c r="I180" t="str">
        <f t="shared" si="8"/>
        <v xml:space="preserve">CAPREOMYCIN RESISTANCE </v>
      </c>
      <c r="J180" t="s">
        <v>37</v>
      </c>
      <c r="L180" s="1"/>
      <c r="N180">
        <v>1</v>
      </c>
      <c r="O180" s="4">
        <v>45203</v>
      </c>
      <c r="P180">
        <v>0</v>
      </c>
      <c r="Q180" t="s">
        <v>254</v>
      </c>
    </row>
    <row r="181" spans="1:17" x14ac:dyDescent="0.25">
      <c r="A181">
        <v>180</v>
      </c>
      <c r="B181">
        <v>8</v>
      </c>
      <c r="C181" t="s">
        <v>130</v>
      </c>
      <c r="D181" t="s">
        <v>35</v>
      </c>
      <c r="E181">
        <v>0</v>
      </c>
      <c r="F181">
        <v>1</v>
      </c>
      <c r="G181" t="s">
        <v>131</v>
      </c>
      <c r="H181">
        <v>24</v>
      </c>
      <c r="I181" t="str">
        <f t="shared" si="8"/>
        <v xml:space="preserve">CIPROFLOXACIN RESISTANCE </v>
      </c>
      <c r="J181" t="s">
        <v>37</v>
      </c>
      <c r="L181" s="1"/>
      <c r="N181">
        <v>1</v>
      </c>
      <c r="O181" s="4">
        <v>45203</v>
      </c>
      <c r="P181">
        <v>0</v>
      </c>
      <c r="Q181" t="s">
        <v>255</v>
      </c>
    </row>
    <row r="182" spans="1:17" x14ac:dyDescent="0.25">
      <c r="A182">
        <v>181</v>
      </c>
      <c r="B182">
        <v>8</v>
      </c>
      <c r="C182" t="s">
        <v>132</v>
      </c>
      <c r="D182" t="s">
        <v>35</v>
      </c>
      <c r="E182">
        <v>0</v>
      </c>
      <c r="F182">
        <v>1</v>
      </c>
      <c r="G182" t="s">
        <v>133</v>
      </c>
      <c r="H182">
        <v>25</v>
      </c>
      <c r="I182" t="str">
        <f t="shared" si="8"/>
        <v xml:space="preserve">CLARITHROMYCIN RESISTANCE </v>
      </c>
      <c r="J182" t="s">
        <v>37</v>
      </c>
      <c r="L182" s="1"/>
      <c r="N182">
        <v>1</v>
      </c>
      <c r="O182" s="4">
        <v>45203</v>
      </c>
      <c r="P182">
        <v>0</v>
      </c>
      <c r="Q182" t="s">
        <v>256</v>
      </c>
    </row>
    <row r="183" spans="1:17" x14ac:dyDescent="0.25">
      <c r="A183">
        <v>182</v>
      </c>
      <c r="B183">
        <v>8</v>
      </c>
      <c r="C183" t="s">
        <v>118</v>
      </c>
      <c r="D183" t="s">
        <v>35</v>
      </c>
      <c r="E183">
        <v>0</v>
      </c>
      <c r="F183">
        <v>1</v>
      </c>
      <c r="G183" s="7" t="s">
        <v>106</v>
      </c>
      <c r="H183">
        <v>27</v>
      </c>
      <c r="I183" t="str">
        <f t="shared" si="8"/>
        <v xml:space="preserve">CLOFAZAMINE RESISTANCE </v>
      </c>
      <c r="J183" t="s">
        <v>37</v>
      </c>
      <c r="L183" s="1"/>
      <c r="N183">
        <v>1</v>
      </c>
      <c r="O183" s="4">
        <v>45203</v>
      </c>
      <c r="P183">
        <v>0</v>
      </c>
      <c r="Q183" t="s">
        <v>257</v>
      </c>
    </row>
    <row r="184" spans="1:17" x14ac:dyDescent="0.25">
      <c r="A184">
        <v>183</v>
      </c>
      <c r="B184">
        <v>8</v>
      </c>
      <c r="C184" t="s">
        <v>134</v>
      </c>
      <c r="D184" t="s">
        <v>35</v>
      </c>
      <c r="E184">
        <v>0</v>
      </c>
      <c r="F184">
        <v>1</v>
      </c>
      <c r="G184" t="s">
        <v>135</v>
      </c>
      <c r="H184">
        <v>28</v>
      </c>
      <c r="I184" t="str">
        <f t="shared" si="8"/>
        <v xml:space="preserve">CYCLOSERINE RESISTANCE </v>
      </c>
      <c r="J184" t="s">
        <v>37</v>
      </c>
      <c r="L184" s="1"/>
      <c r="N184">
        <v>1</v>
      </c>
      <c r="O184" s="4">
        <v>45203</v>
      </c>
      <c r="P184">
        <v>0</v>
      </c>
      <c r="Q184" t="s">
        <v>258</v>
      </c>
    </row>
    <row r="185" spans="1:17" x14ac:dyDescent="0.25">
      <c r="A185">
        <v>184</v>
      </c>
      <c r="B185">
        <v>8</v>
      </c>
      <c r="C185" t="s">
        <v>120</v>
      </c>
      <c r="D185" t="s">
        <v>35</v>
      </c>
      <c r="E185">
        <v>0</v>
      </c>
      <c r="F185">
        <v>1</v>
      </c>
      <c r="G185" t="s">
        <v>108</v>
      </c>
      <c r="H185">
        <v>29</v>
      </c>
      <c r="I185" t="str">
        <f t="shared" si="8"/>
        <v xml:space="preserve">DELAMANID RESISTANCE </v>
      </c>
      <c r="J185" t="s">
        <v>37</v>
      </c>
      <c r="L185" s="1"/>
      <c r="N185">
        <v>1</v>
      </c>
      <c r="O185" s="4">
        <v>45203</v>
      </c>
      <c r="P185">
        <v>0</v>
      </c>
      <c r="Q185" t="s">
        <v>259</v>
      </c>
    </row>
    <row r="186" spans="1:17" x14ac:dyDescent="0.25">
      <c r="A186">
        <v>185</v>
      </c>
      <c r="B186">
        <v>8</v>
      </c>
      <c r="C186" t="s">
        <v>136</v>
      </c>
      <c r="D186" t="s">
        <v>35</v>
      </c>
      <c r="E186">
        <v>0</v>
      </c>
      <c r="F186">
        <v>1</v>
      </c>
      <c r="G186" t="s">
        <v>137</v>
      </c>
      <c r="H186">
        <v>30</v>
      </c>
      <c r="I186" t="str">
        <f t="shared" si="8"/>
        <v xml:space="preserve">ETHAMBUTOL RESISTANCE </v>
      </c>
      <c r="J186" t="s">
        <v>37</v>
      </c>
      <c r="L186" s="1"/>
      <c r="N186">
        <v>1</v>
      </c>
      <c r="O186" s="4">
        <v>45203</v>
      </c>
      <c r="P186">
        <v>0</v>
      </c>
      <c r="Q186" t="s">
        <v>260</v>
      </c>
    </row>
    <row r="187" spans="1:17" x14ac:dyDescent="0.25">
      <c r="A187">
        <v>186</v>
      </c>
      <c r="B187">
        <v>8</v>
      </c>
      <c r="C187" t="s">
        <v>138</v>
      </c>
      <c r="D187" t="s">
        <v>35</v>
      </c>
      <c r="E187">
        <v>0</v>
      </c>
      <c r="F187">
        <v>1</v>
      </c>
      <c r="G187" t="s">
        <v>148</v>
      </c>
      <c r="H187">
        <v>31</v>
      </c>
      <c r="I187" t="str">
        <f t="shared" si="8"/>
        <v xml:space="preserve">ETHIONAMIDE RESISTANCE </v>
      </c>
      <c r="J187" t="s">
        <v>37</v>
      </c>
      <c r="L187" s="1"/>
      <c r="N187">
        <v>1</v>
      </c>
      <c r="O187" s="4">
        <v>45203</v>
      </c>
      <c r="P187">
        <v>0</v>
      </c>
      <c r="Q187" t="s">
        <v>261</v>
      </c>
    </row>
    <row r="188" spans="1:17" x14ac:dyDescent="0.25">
      <c r="A188">
        <v>187</v>
      </c>
      <c r="B188">
        <v>8</v>
      </c>
      <c r="C188" t="s">
        <v>139</v>
      </c>
      <c r="D188" t="s">
        <v>35</v>
      </c>
      <c r="E188">
        <v>0</v>
      </c>
      <c r="F188">
        <v>1</v>
      </c>
      <c r="G188" t="s">
        <v>149</v>
      </c>
      <c r="H188">
        <v>32</v>
      </c>
      <c r="I188" t="str">
        <f t="shared" si="8"/>
        <v xml:space="preserve">GATIFLOXACIN RESISTANCE </v>
      </c>
      <c r="J188" t="s">
        <v>37</v>
      </c>
      <c r="L188" s="1"/>
      <c r="N188">
        <v>1</v>
      </c>
      <c r="O188" s="4">
        <v>45203</v>
      </c>
      <c r="P188">
        <v>0</v>
      </c>
      <c r="Q188" t="s">
        <v>262</v>
      </c>
    </row>
    <row r="189" spans="1:17" x14ac:dyDescent="0.25">
      <c r="A189">
        <v>188</v>
      </c>
      <c r="B189">
        <v>8</v>
      </c>
      <c r="C189" t="s">
        <v>82</v>
      </c>
      <c r="D189" t="s">
        <v>35</v>
      </c>
      <c r="E189">
        <v>0</v>
      </c>
      <c r="F189">
        <v>1</v>
      </c>
      <c r="G189" t="s">
        <v>150</v>
      </c>
      <c r="H189">
        <v>33</v>
      </c>
      <c r="I189" t="str">
        <f t="shared" si="8"/>
        <v xml:space="preserve">ISONIAZID RESISTANCE </v>
      </c>
      <c r="J189" t="s">
        <v>37</v>
      </c>
      <c r="L189" s="1"/>
      <c r="N189">
        <v>1</v>
      </c>
      <c r="O189" s="4">
        <v>45203</v>
      </c>
      <c r="P189">
        <v>0</v>
      </c>
      <c r="Q189" t="s">
        <v>263</v>
      </c>
    </row>
    <row r="190" spans="1:17" x14ac:dyDescent="0.25">
      <c r="A190">
        <v>189</v>
      </c>
      <c r="B190">
        <v>8</v>
      </c>
      <c r="C190" t="s">
        <v>123</v>
      </c>
      <c r="D190" t="s">
        <v>35</v>
      </c>
      <c r="E190">
        <v>0</v>
      </c>
      <c r="F190">
        <v>1</v>
      </c>
      <c r="G190" s="7" t="s">
        <v>111</v>
      </c>
      <c r="H190">
        <v>35</v>
      </c>
      <c r="I190" t="str">
        <f t="shared" si="8"/>
        <v xml:space="preserve">KANAMYCIN RESISTANCE </v>
      </c>
      <c r="J190" t="s">
        <v>37</v>
      </c>
      <c r="L190" s="1"/>
      <c r="N190">
        <v>1</v>
      </c>
      <c r="O190" s="4">
        <v>45203</v>
      </c>
      <c r="P190">
        <v>0</v>
      </c>
      <c r="Q190" t="s">
        <v>264</v>
      </c>
    </row>
    <row r="191" spans="1:17" x14ac:dyDescent="0.25">
      <c r="A191">
        <v>190</v>
      </c>
      <c r="B191">
        <v>8</v>
      </c>
      <c r="C191" t="s">
        <v>115</v>
      </c>
      <c r="D191" t="s">
        <v>35</v>
      </c>
      <c r="E191">
        <v>0</v>
      </c>
      <c r="F191">
        <v>1</v>
      </c>
      <c r="G191" s="7" t="s">
        <v>103</v>
      </c>
      <c r="H191">
        <v>36</v>
      </c>
      <c r="I191" t="str">
        <f t="shared" si="8"/>
        <v xml:space="preserve">LEVOFLOXACIN RESISTANCE </v>
      </c>
      <c r="J191" t="s">
        <v>37</v>
      </c>
      <c r="L191" s="1"/>
      <c r="N191">
        <v>1</v>
      </c>
      <c r="O191" s="4">
        <v>45203</v>
      </c>
      <c r="P191">
        <v>0</v>
      </c>
      <c r="Q191" t="s">
        <v>265</v>
      </c>
    </row>
    <row r="192" spans="1:17" x14ac:dyDescent="0.25">
      <c r="A192">
        <v>191</v>
      </c>
      <c r="B192">
        <v>8</v>
      </c>
      <c r="C192" t="s">
        <v>117</v>
      </c>
      <c r="D192" t="s">
        <v>35</v>
      </c>
      <c r="E192">
        <v>0</v>
      </c>
      <c r="F192">
        <v>1</v>
      </c>
      <c r="G192" t="s">
        <v>105</v>
      </c>
      <c r="H192">
        <v>47</v>
      </c>
      <c r="I192" t="str">
        <f t="shared" si="8"/>
        <v xml:space="preserve">LINEZOLID RESISTANCE </v>
      </c>
      <c r="J192" t="s">
        <v>37</v>
      </c>
      <c r="L192" s="1"/>
      <c r="N192">
        <v>1</v>
      </c>
      <c r="O192" s="4">
        <v>45203</v>
      </c>
      <c r="P192">
        <v>0</v>
      </c>
      <c r="Q192" t="s">
        <v>266</v>
      </c>
    </row>
    <row r="193" spans="1:17" x14ac:dyDescent="0.25">
      <c r="A193">
        <v>192</v>
      </c>
      <c r="B193">
        <v>8</v>
      </c>
      <c r="C193" t="s">
        <v>114</v>
      </c>
      <c r="D193" t="s">
        <v>35</v>
      </c>
      <c r="E193">
        <v>0</v>
      </c>
      <c r="F193">
        <v>1</v>
      </c>
      <c r="G193" s="7" t="s">
        <v>102</v>
      </c>
      <c r="H193">
        <v>38</v>
      </c>
      <c r="I193" t="str">
        <f t="shared" si="8"/>
        <v xml:space="preserve">MOXIFLOXACIN RESISTANCE </v>
      </c>
      <c r="J193" t="s">
        <v>37</v>
      </c>
      <c r="L193" s="1"/>
      <c r="N193">
        <v>1</v>
      </c>
      <c r="O193" s="4">
        <v>45203</v>
      </c>
      <c r="P193">
        <v>0</v>
      </c>
      <c r="Q193" t="s">
        <v>267</v>
      </c>
    </row>
    <row r="194" spans="1:17" x14ac:dyDescent="0.25">
      <c r="A194">
        <v>193</v>
      </c>
      <c r="B194">
        <v>8</v>
      </c>
      <c r="C194" t="s">
        <v>113</v>
      </c>
      <c r="D194" t="s">
        <v>35</v>
      </c>
      <c r="E194">
        <v>0</v>
      </c>
      <c r="F194">
        <v>1</v>
      </c>
      <c r="G194" s="7" t="s">
        <v>101</v>
      </c>
      <c r="H194">
        <v>39</v>
      </c>
      <c r="I194" t="str">
        <f t="shared" si="8"/>
        <v xml:space="preserve">OFLOXACIN RESISTANCE </v>
      </c>
      <c r="J194" t="s">
        <v>37</v>
      </c>
      <c r="L194" s="1"/>
      <c r="N194">
        <v>1</v>
      </c>
      <c r="O194" s="4">
        <v>45203</v>
      </c>
      <c r="P194">
        <v>0</v>
      </c>
      <c r="Q194" t="s">
        <v>268</v>
      </c>
    </row>
    <row r="195" spans="1:17" x14ac:dyDescent="0.25">
      <c r="A195">
        <v>194</v>
      </c>
      <c r="B195">
        <v>8</v>
      </c>
      <c r="C195" t="s">
        <v>147</v>
      </c>
      <c r="D195" t="s">
        <v>35</v>
      </c>
      <c r="E195">
        <v>0</v>
      </c>
      <c r="F195">
        <v>1</v>
      </c>
      <c r="G195" s="7" t="s">
        <v>412</v>
      </c>
      <c r="H195">
        <v>40</v>
      </c>
      <c r="I195" t="str">
        <f t="shared" si="8"/>
        <v xml:space="preserve">OTHER RESISTANCE </v>
      </c>
      <c r="J195" t="s">
        <v>37</v>
      </c>
      <c r="L195" s="1"/>
      <c r="N195">
        <v>1</v>
      </c>
      <c r="O195" s="4">
        <v>45203</v>
      </c>
      <c r="P195">
        <v>0</v>
      </c>
      <c r="Q195" t="s">
        <v>269</v>
      </c>
    </row>
    <row r="196" spans="1:17" x14ac:dyDescent="0.25">
      <c r="A196">
        <v>195</v>
      </c>
      <c r="B196">
        <v>8</v>
      </c>
      <c r="C196" t="s">
        <v>121</v>
      </c>
      <c r="D196" t="s">
        <v>35</v>
      </c>
      <c r="E196">
        <v>0</v>
      </c>
      <c r="F196">
        <v>1</v>
      </c>
      <c r="G196" s="7" t="s">
        <v>109</v>
      </c>
      <c r="H196">
        <v>41</v>
      </c>
      <c r="I196" t="str">
        <f t="shared" si="8"/>
        <v xml:space="preserve">P-AMINOSALICY RESISTANCE </v>
      </c>
      <c r="J196" t="s">
        <v>37</v>
      </c>
      <c r="L196" s="1"/>
      <c r="N196">
        <v>1</v>
      </c>
      <c r="O196" s="4">
        <v>45203</v>
      </c>
      <c r="P196">
        <v>0</v>
      </c>
      <c r="Q196" t="s">
        <v>351</v>
      </c>
    </row>
    <row r="197" spans="1:17" x14ac:dyDescent="0.25">
      <c r="A197">
        <v>196</v>
      </c>
      <c r="B197">
        <v>8</v>
      </c>
      <c r="C197" t="s">
        <v>116</v>
      </c>
      <c r="D197" t="s">
        <v>35</v>
      </c>
      <c r="E197">
        <v>0</v>
      </c>
      <c r="F197">
        <v>1</v>
      </c>
      <c r="G197" s="7" t="s">
        <v>104</v>
      </c>
      <c r="H197">
        <v>42</v>
      </c>
      <c r="I197" t="str">
        <f t="shared" si="8"/>
        <v xml:space="preserve">PROTHIONAMIDE RESISTANCE </v>
      </c>
      <c r="J197" t="s">
        <v>37</v>
      </c>
      <c r="L197" s="1"/>
      <c r="N197">
        <v>1</v>
      </c>
      <c r="O197" s="4">
        <v>45203</v>
      </c>
      <c r="P197">
        <v>0</v>
      </c>
      <c r="Q197" t="s">
        <v>352</v>
      </c>
    </row>
    <row r="198" spans="1:17" x14ac:dyDescent="0.25">
      <c r="A198">
        <v>197</v>
      </c>
      <c r="B198">
        <v>8</v>
      </c>
      <c r="C198" t="s">
        <v>140</v>
      </c>
      <c r="D198" t="s">
        <v>35</v>
      </c>
      <c r="E198">
        <v>0</v>
      </c>
      <c r="F198">
        <v>1</v>
      </c>
      <c r="G198" t="s">
        <v>155</v>
      </c>
      <c r="H198">
        <v>43</v>
      </c>
      <c r="I198" t="str">
        <f t="shared" si="8"/>
        <v xml:space="preserve">PYRAZINAMIDE RESISTANCE </v>
      </c>
      <c r="J198" t="s">
        <v>37</v>
      </c>
      <c r="L198" s="1"/>
      <c r="N198">
        <v>1</v>
      </c>
      <c r="O198" s="4">
        <v>45203</v>
      </c>
      <c r="P198">
        <v>0</v>
      </c>
      <c r="Q198" t="s">
        <v>353</v>
      </c>
    </row>
    <row r="199" spans="1:17" x14ac:dyDescent="0.25">
      <c r="A199">
        <v>198</v>
      </c>
      <c r="B199">
        <v>8</v>
      </c>
      <c r="C199" t="s">
        <v>141</v>
      </c>
      <c r="D199" t="s">
        <v>35</v>
      </c>
      <c r="E199">
        <v>0</v>
      </c>
      <c r="F199">
        <v>1</v>
      </c>
      <c r="G199" t="s">
        <v>151</v>
      </c>
      <c r="H199">
        <v>44</v>
      </c>
      <c r="I199" t="str">
        <f t="shared" si="8"/>
        <v xml:space="preserve">PYRIDOXINE RESISTANCE </v>
      </c>
      <c r="J199" t="s">
        <v>37</v>
      </c>
      <c r="L199" s="1"/>
      <c r="N199">
        <v>1</v>
      </c>
      <c r="O199" s="4">
        <v>45203</v>
      </c>
      <c r="P199">
        <v>0</v>
      </c>
      <c r="Q199" t="s">
        <v>354</v>
      </c>
    </row>
    <row r="200" spans="1:17" x14ac:dyDescent="0.25">
      <c r="A200">
        <v>199</v>
      </c>
      <c r="B200">
        <v>8</v>
      </c>
      <c r="C200" t="s">
        <v>142</v>
      </c>
      <c r="D200" t="s">
        <v>35</v>
      </c>
      <c r="E200">
        <v>0</v>
      </c>
      <c r="F200">
        <v>1</v>
      </c>
      <c r="G200" t="s">
        <v>411</v>
      </c>
      <c r="H200">
        <v>45</v>
      </c>
      <c r="I200" t="str">
        <f t="shared" si="8"/>
        <v xml:space="preserve">RIFABUTIN RESISTANCE </v>
      </c>
      <c r="J200" t="s">
        <v>37</v>
      </c>
      <c r="L200" s="1"/>
      <c r="N200">
        <v>1</v>
      </c>
      <c r="O200" s="4">
        <v>45203</v>
      </c>
      <c r="P200">
        <v>0</v>
      </c>
      <c r="Q200" t="s">
        <v>355</v>
      </c>
    </row>
    <row r="201" spans="1:17" x14ac:dyDescent="0.25">
      <c r="A201">
        <v>200</v>
      </c>
      <c r="B201">
        <v>8</v>
      </c>
      <c r="C201" t="s">
        <v>61</v>
      </c>
      <c r="D201" t="s">
        <v>35</v>
      </c>
      <c r="E201">
        <v>0</v>
      </c>
      <c r="F201">
        <v>1</v>
      </c>
      <c r="G201" t="s">
        <v>153</v>
      </c>
      <c r="H201">
        <v>46</v>
      </c>
      <c r="I201" t="str">
        <f t="shared" si="8"/>
        <v xml:space="preserve">RIFAMPICIN RESISTANCE </v>
      </c>
      <c r="J201" t="s">
        <v>37</v>
      </c>
      <c r="L201" s="1"/>
      <c r="N201">
        <v>1</v>
      </c>
      <c r="O201" s="4">
        <v>45203</v>
      </c>
      <c r="P201">
        <v>0</v>
      </c>
      <c r="Q201" t="s">
        <v>356</v>
      </c>
    </row>
    <row r="202" spans="1:17" x14ac:dyDescent="0.25">
      <c r="A202">
        <v>201</v>
      </c>
      <c r="B202">
        <v>8</v>
      </c>
      <c r="C202" t="s">
        <v>143</v>
      </c>
      <c r="D202" t="s">
        <v>35</v>
      </c>
      <c r="E202">
        <v>0</v>
      </c>
      <c r="F202">
        <v>1</v>
      </c>
      <c r="G202" t="s">
        <v>154</v>
      </c>
      <c r="H202">
        <v>37</v>
      </c>
      <c r="I202" t="str">
        <f t="shared" si="8"/>
        <v xml:space="preserve">STREPTOMYCIN RESISTANCE </v>
      </c>
      <c r="J202" t="s">
        <v>37</v>
      </c>
      <c r="L202" s="1"/>
      <c r="N202">
        <v>1</v>
      </c>
      <c r="O202" s="4">
        <v>45203</v>
      </c>
      <c r="P202">
        <v>0</v>
      </c>
      <c r="Q202" t="s">
        <v>357</v>
      </c>
    </row>
    <row r="203" spans="1:17" x14ac:dyDescent="0.25">
      <c r="A203">
        <v>202</v>
      </c>
      <c r="B203">
        <v>8</v>
      </c>
      <c r="C203" t="s">
        <v>144</v>
      </c>
      <c r="D203" t="s">
        <v>35</v>
      </c>
      <c r="E203">
        <v>0</v>
      </c>
      <c r="F203">
        <v>1</v>
      </c>
      <c r="G203" t="s">
        <v>151</v>
      </c>
      <c r="H203">
        <v>38</v>
      </c>
      <c r="I203" t="str">
        <f t="shared" si="8"/>
        <v xml:space="preserve">TERIZIDONE RESISTANCE </v>
      </c>
      <c r="J203" t="s">
        <v>37</v>
      </c>
      <c r="L203" s="1"/>
      <c r="N203">
        <v>1</v>
      </c>
      <c r="O203" s="4">
        <v>45203</v>
      </c>
      <c r="P203">
        <v>0</v>
      </c>
      <c r="Q203" t="s">
        <v>358</v>
      </c>
    </row>
    <row r="204" spans="1:17" x14ac:dyDescent="0.25">
      <c r="A204">
        <v>203</v>
      </c>
      <c r="B204">
        <v>8</v>
      </c>
      <c r="C204" t="s">
        <v>145</v>
      </c>
      <c r="D204" t="s">
        <v>35</v>
      </c>
      <c r="E204">
        <v>0</v>
      </c>
      <c r="F204">
        <v>1</v>
      </c>
      <c r="G204" t="s">
        <v>152</v>
      </c>
      <c r="H204">
        <v>39</v>
      </c>
      <c r="I204" t="str">
        <f t="shared" si="8"/>
        <v xml:space="preserve">THIOACETAZONE RESISTANCE </v>
      </c>
      <c r="J204" t="s">
        <v>37</v>
      </c>
      <c r="L204" s="1"/>
      <c r="N204">
        <v>1</v>
      </c>
      <c r="O204" s="4">
        <v>45203</v>
      </c>
      <c r="P204">
        <v>0</v>
      </c>
      <c r="Q204" t="s">
        <v>359</v>
      </c>
    </row>
    <row r="205" spans="1:17" x14ac:dyDescent="0.25">
      <c r="A205">
        <v>204</v>
      </c>
      <c r="B205">
        <v>8</v>
      </c>
      <c r="C205" t="s">
        <v>146</v>
      </c>
      <c r="D205" t="s">
        <v>35</v>
      </c>
      <c r="E205">
        <v>0</v>
      </c>
      <c r="F205">
        <v>1</v>
      </c>
      <c r="G205" t="s">
        <v>156</v>
      </c>
      <c r="H205">
        <v>40</v>
      </c>
      <c r="I205" t="str">
        <f t="shared" si="8"/>
        <v xml:space="preserve">VIOMYCIN RESISTANCE </v>
      </c>
      <c r="J205" t="s">
        <v>37</v>
      </c>
      <c r="L205" s="1"/>
      <c r="N205">
        <v>1</v>
      </c>
      <c r="O205" s="4">
        <v>45203</v>
      </c>
      <c r="P205">
        <v>0</v>
      </c>
      <c r="Q205" t="s">
        <v>360</v>
      </c>
    </row>
    <row r="206" spans="1:17" s="5" customFormat="1" x14ac:dyDescent="0.25">
      <c r="A206">
        <v>205</v>
      </c>
      <c r="B206">
        <v>5</v>
      </c>
      <c r="C206" t="s">
        <v>34</v>
      </c>
      <c r="D206" t="s">
        <v>35</v>
      </c>
      <c r="E206">
        <v>0</v>
      </c>
      <c r="F206">
        <v>1</v>
      </c>
      <c r="G206" t="s">
        <v>36</v>
      </c>
      <c r="H206">
        <v>109</v>
      </c>
      <c r="I206" t="str">
        <f>C206 &amp; " " &amp;L206</f>
        <v xml:space="preserve">APPEARANCE OF SPECIMEN XPERT ULTRA</v>
      </c>
      <c r="J206" t="s">
        <v>37</v>
      </c>
      <c r="K206"/>
      <c r="L206" t="s">
        <v>413</v>
      </c>
      <c r="M206"/>
      <c r="N206">
        <v>1</v>
      </c>
      <c r="O206" s="4">
        <v>46313</v>
      </c>
      <c r="P206">
        <v>0</v>
      </c>
      <c r="Q206" t="s">
        <v>414</v>
      </c>
    </row>
    <row r="207" spans="1:17" s="5" customFormat="1" x14ac:dyDescent="0.25">
      <c r="A207">
        <v>206</v>
      </c>
      <c r="B207">
        <v>5</v>
      </c>
      <c r="C207" t="s">
        <v>51</v>
      </c>
      <c r="D207" t="s">
        <v>35</v>
      </c>
      <c r="E207">
        <v>0</v>
      </c>
      <c r="F207">
        <v>1</v>
      </c>
      <c r="G207" t="s">
        <v>52</v>
      </c>
      <c r="H207">
        <v>110</v>
      </c>
      <c r="I207" t="str">
        <f>C207 &amp; " " &amp;L207</f>
        <v xml:space="preserve">MTB RESULT XPERT ULTRA</v>
      </c>
      <c r="J207" t="s">
        <v>37</v>
      </c>
      <c r="K207"/>
      <c r="L207" t="s">
        <v>413</v>
      </c>
      <c r="M207"/>
      <c r="N207">
        <v>1</v>
      </c>
      <c r="O207" s="4">
        <v>46313</v>
      </c>
      <c r="P207">
        <v>0</v>
      </c>
      <c r="Q207" t="s">
        <v>415</v>
      </c>
    </row>
    <row r="208" spans="1:17" s="5" customFormat="1" x14ac:dyDescent="0.25">
      <c r="A208">
        <v>207</v>
      </c>
      <c r="B208">
        <v>5</v>
      </c>
      <c r="C208" t="s">
        <v>85</v>
      </c>
      <c r="D208" t="s">
        <v>44</v>
      </c>
      <c r="E208">
        <v>0</v>
      </c>
      <c r="F208">
        <v>1</v>
      </c>
      <c r="G208" t="s">
        <v>45</v>
      </c>
      <c r="H208">
        <v>111</v>
      </c>
      <c r="I208" t="str">
        <f>C208 &amp; " " &amp;L208</f>
        <v xml:space="preserve">ERROR CODE XPERT ULTRA</v>
      </c>
      <c r="J208" t="s">
        <v>46</v>
      </c>
      <c r="K208"/>
      <c r="L208" t="s">
        <v>413</v>
      </c>
      <c r="M208"/>
      <c r="N208">
        <v>1</v>
      </c>
      <c r="O208" s="4">
        <v>46313</v>
      </c>
      <c r="P208">
        <v>0</v>
      </c>
      <c r="Q208" t="s">
        <v>416</v>
      </c>
    </row>
    <row r="209" spans="1:17" s="5" customFormat="1" x14ac:dyDescent="0.25">
      <c r="A209">
        <v>208</v>
      </c>
      <c r="B209">
        <v>5</v>
      </c>
      <c r="C209" t="s">
        <v>417</v>
      </c>
      <c r="D209" t="s">
        <v>35</v>
      </c>
      <c r="E209">
        <v>0</v>
      </c>
      <c r="F209">
        <v>1</v>
      </c>
      <c r="G209" t="s">
        <v>418</v>
      </c>
      <c r="H209">
        <v>112</v>
      </c>
      <c r="I209" t="str">
        <f>C209 &amp; " " &amp;L209</f>
        <v xml:space="preserve">XPERT ULTRA MTB BURDEN XPERT ULTRA</v>
      </c>
      <c r="J209" t="s">
        <v>37</v>
      </c>
      <c r="K209"/>
      <c r="L209" t="s">
        <v>413</v>
      </c>
      <c r="M209"/>
      <c r="N209">
        <v>1</v>
      </c>
      <c r="O209" s="4">
        <v>46313</v>
      </c>
      <c r="P209">
        <v>0</v>
      </c>
      <c r="Q209" t="s">
        <v>419</v>
      </c>
    </row>
    <row r="210" spans="1:17" x14ac:dyDescent="0.25">
      <c r="A210">
        <v>209</v>
      </c>
      <c r="B210" s="1">
        <v>5</v>
      </c>
      <c r="C210" t="s">
        <v>171</v>
      </c>
      <c r="D210" t="s">
        <v>35</v>
      </c>
      <c r="E210">
        <v>0</v>
      </c>
      <c r="F210">
        <v>1</v>
      </c>
      <c r="G210" t="s">
        <v>62</v>
      </c>
      <c r="H210">
        <v>113</v>
      </c>
      <c r="I210" t="str">
        <f>C210 &amp; " " &amp;L210</f>
        <v xml:space="preserve">RIFAMPICIN RESULT XPERT ULTRA</v>
      </c>
      <c r="J210" t="s">
        <v>37</v>
      </c>
      <c r="L210" s="1" t="s">
        <v>413</v>
      </c>
      <c r="N210">
        <v>1</v>
      </c>
      <c r="O210" s="4">
        <v>46313</v>
      </c>
      <c r="P210">
        <v>0</v>
      </c>
      <c r="Q210" t="s">
        <v>420</v>
      </c>
    </row>
    <row r="211" spans="1:17" s="5" customFormat="1" x14ac:dyDescent="0.25">
      <c r="A211">
        <v>210</v>
      </c>
      <c r="B211">
        <v>5</v>
      </c>
      <c r="C211" t="s">
        <v>81</v>
      </c>
      <c r="D211" t="s">
        <v>39</v>
      </c>
      <c r="E211">
        <v>0</v>
      </c>
      <c r="F211">
        <v>1</v>
      </c>
      <c r="G211"/>
      <c r="H211">
        <v>114</v>
      </c>
      <c r="I211" t="str">
        <f>C211 &amp; " " &amp;L211</f>
        <v xml:space="preserve">TUBERCULOSIS TEST RESULT DATE XPERT ULTRA</v>
      </c>
      <c r="J211" t="s">
        <v>41</v>
      </c>
      <c r="K211"/>
      <c r="L211" t="s">
        <v>413</v>
      </c>
      <c r="M211"/>
      <c r="N211">
        <v>1</v>
      </c>
      <c r="O211" s="4">
        <v>46313</v>
      </c>
      <c r="P211">
        <v>0</v>
      </c>
      <c r="Q211" t="s">
        <v>421</v>
      </c>
    </row>
    <row r="212" spans="1:17" s="5" customFormat="1" x14ac:dyDescent="0.25">
      <c r="A212">
        <v>211</v>
      </c>
      <c r="B212">
        <v>5</v>
      </c>
      <c r="C212" t="s">
        <v>279</v>
      </c>
      <c r="D212" t="s">
        <v>39</v>
      </c>
      <c r="E212">
        <v>0</v>
      </c>
      <c r="F212">
        <v>1</v>
      </c>
      <c r="G212"/>
      <c r="H212">
        <v>115</v>
      </c>
      <c r="I212" t="str">
        <f>C212 &amp; " " &amp;L212</f>
        <v xml:space="preserve">DATE OF SENDING TO CULTURE XPERT ULTRA</v>
      </c>
      <c r="J212" t="s">
        <v>41</v>
      </c>
      <c r="K212"/>
      <c r="L212" t="s">
        <v>413</v>
      </c>
      <c r="M212"/>
      <c r="N212">
        <v>1</v>
      </c>
      <c r="O212" s="4">
        <v>46313</v>
      </c>
      <c r="P212">
        <v>0</v>
      </c>
      <c r="Q212" t="s">
        <v>422</v>
      </c>
    </row>
    <row r="213" spans="1:17" s="5" customFormat="1" x14ac:dyDescent="0.25">
      <c r="A213">
        <v>212</v>
      </c>
      <c r="B213">
        <v>5</v>
      </c>
      <c r="C213" t="s">
        <v>280</v>
      </c>
      <c r="D213" t="s">
        <v>39</v>
      </c>
      <c r="E213">
        <v>0</v>
      </c>
      <c r="F213">
        <v>1</v>
      </c>
      <c r="G213"/>
      <c r="H213">
        <v>116</v>
      </c>
      <c r="I213" t="str">
        <f>C213 &amp; " " &amp;L213</f>
        <v xml:space="preserve">DATE OF SENDING TO DST XPERT ULTRA</v>
      </c>
      <c r="J213" t="s">
        <v>41</v>
      </c>
      <c r="K213"/>
      <c r="L213" t="s">
        <v>413</v>
      </c>
      <c r="M213"/>
      <c r="N213">
        <v>1</v>
      </c>
      <c r="O213" s="4">
        <v>46313</v>
      </c>
      <c r="P213">
        <v>0</v>
      </c>
      <c r="Q213" t="s">
        <v>423</v>
      </c>
    </row>
    <row r="214" spans="1:17" s="5" customFormat="1" x14ac:dyDescent="0.25">
      <c r="A214">
        <v>213</v>
      </c>
      <c r="B214">
        <v>5</v>
      </c>
      <c r="C214" t="s">
        <v>282</v>
      </c>
      <c r="D214" t="s">
        <v>35</v>
      </c>
      <c r="E214">
        <v>0</v>
      </c>
      <c r="F214">
        <v>1</v>
      </c>
      <c r="G214" t="s">
        <v>295</v>
      </c>
      <c r="H214">
        <v>117</v>
      </c>
      <c r="I214" t="str">
        <f>C214 &amp; " " &amp;L214</f>
        <v xml:space="preserve">SENT TO CULTURE XPERT ULTRA</v>
      </c>
      <c r="J214" t="s">
        <v>37</v>
      </c>
      <c r="K214"/>
      <c r="L214" t="s">
        <v>413</v>
      </c>
      <c r="M214"/>
      <c r="N214">
        <v>1</v>
      </c>
      <c r="O214" s="4">
        <v>46313</v>
      </c>
      <c r="P214">
        <v>0</v>
      </c>
      <c r="Q214" t="s">
        <v>424</v>
      </c>
    </row>
    <row r="215" spans="1:17" s="5" customFormat="1" x14ac:dyDescent="0.25">
      <c r="A215">
        <v>214</v>
      </c>
      <c r="B215">
        <v>5</v>
      </c>
      <c r="C215" t="s">
        <v>281</v>
      </c>
      <c r="D215" t="s">
        <v>35</v>
      </c>
      <c r="E215">
        <v>0</v>
      </c>
      <c r="F215">
        <v>1</v>
      </c>
      <c r="G215" t="s">
        <v>294</v>
      </c>
      <c r="H215">
        <v>118</v>
      </c>
      <c r="I215" t="str">
        <f>C215 &amp; " " &amp;L215</f>
        <v xml:space="preserve">SENT TO DST XPERT ULTRA</v>
      </c>
      <c r="J215" t="s">
        <v>37</v>
      </c>
      <c r="K215"/>
      <c r="L215" t="s">
        <v>413</v>
      </c>
      <c r="M215"/>
      <c r="N215">
        <v>1</v>
      </c>
      <c r="O215" s="4">
        <v>46313</v>
      </c>
      <c r="P215">
        <v>0</v>
      </c>
      <c r="Q215" t="s">
        <v>425</v>
      </c>
    </row>
    <row r="216" spans="1:17" s="5" customFormat="1" x14ac:dyDescent="0.25">
      <c r="A216">
        <v>215</v>
      </c>
      <c r="B216">
        <v>5</v>
      </c>
      <c r="C216" t="s">
        <v>34</v>
      </c>
      <c r="D216" t="s">
        <v>35</v>
      </c>
      <c r="E216">
        <v>0</v>
      </c>
      <c r="F216">
        <v>1</v>
      </c>
      <c r="G216" t="s">
        <v>36</v>
      </c>
      <c r="H216">
        <v>119</v>
      </c>
      <c r="I216" t="str">
        <f>C216 &amp; " " &amp;L216</f>
        <v xml:space="preserve">APPEARANCE OF SPECIMEN XPERT XDR</v>
      </c>
      <c r="J216" t="s">
        <v>37</v>
      </c>
      <c r="K216"/>
      <c r="L216" t="s">
        <v>426</v>
      </c>
      <c r="M216"/>
      <c r="N216">
        <v>1</v>
      </c>
      <c r="O216" s="4">
        <v>46313</v>
      </c>
      <c r="P216">
        <v>0</v>
      </c>
      <c r="Q216" t="s">
        <v>427</v>
      </c>
    </row>
    <row r="217" spans="1:17" s="5" customFormat="1" x14ac:dyDescent="0.25">
      <c r="A217">
        <v>216</v>
      </c>
      <c r="B217">
        <v>5</v>
      </c>
      <c r="C217" t="s">
        <v>51</v>
      </c>
      <c r="D217" t="s">
        <v>35</v>
      </c>
      <c r="E217">
        <v>0</v>
      </c>
      <c r="F217">
        <v>1</v>
      </c>
      <c r="G217" t="s">
        <v>52</v>
      </c>
      <c r="H217">
        <v>120</v>
      </c>
      <c r="I217" t="str">
        <f>C217 &amp; " " &amp;L217</f>
        <v xml:space="preserve">MTB RESULT XPERT XDR</v>
      </c>
      <c r="J217" t="s">
        <v>37</v>
      </c>
      <c r="K217"/>
      <c r="L217" t="s">
        <v>426</v>
      </c>
      <c r="M217"/>
      <c r="N217">
        <v>1</v>
      </c>
      <c r="O217" s="4">
        <v>46313</v>
      </c>
      <c r="P217">
        <v>0</v>
      </c>
      <c r="Q217" t="s">
        <v>428</v>
      </c>
    </row>
    <row r="218" spans="1:17" s="5" customFormat="1" x14ac:dyDescent="0.25">
      <c r="A218">
        <v>217</v>
      </c>
      <c r="B218">
        <v>5</v>
      </c>
      <c r="C218" t="s">
        <v>85</v>
      </c>
      <c r="D218" t="s">
        <v>44</v>
      </c>
      <c r="E218">
        <v>0</v>
      </c>
      <c r="F218">
        <v>1</v>
      </c>
      <c r="G218" t="s">
        <v>45</v>
      </c>
      <c r="H218">
        <v>121</v>
      </c>
      <c r="I218" t="str">
        <f>C218 &amp; " " &amp;L218</f>
        <v xml:space="preserve">ERROR CODE XPERT XDR</v>
      </c>
      <c r="J218" t="s">
        <v>46</v>
      </c>
      <c r="K218"/>
      <c r="L218" t="s">
        <v>426</v>
      </c>
      <c r="M218"/>
      <c r="N218">
        <v>1</v>
      </c>
      <c r="O218" s="4">
        <v>46313</v>
      </c>
      <c r="P218">
        <v>0</v>
      </c>
      <c r="Q218" t="s">
        <v>429</v>
      </c>
    </row>
    <row r="219" spans="1:17" x14ac:dyDescent="0.25">
      <c r="A219">
        <v>218</v>
      </c>
      <c r="B219" s="1">
        <v>5</v>
      </c>
      <c r="C219" t="s">
        <v>170</v>
      </c>
      <c r="D219" t="s">
        <v>35</v>
      </c>
      <c r="E219">
        <v>0</v>
      </c>
      <c r="F219">
        <v>1</v>
      </c>
      <c r="G219" t="s">
        <v>88</v>
      </c>
      <c r="H219">
        <v>122</v>
      </c>
      <c r="I219" t="str">
        <f>C219 &amp; " " &amp;L219</f>
        <v xml:space="preserve">ISONIAZID RESULT XPERT XDR</v>
      </c>
      <c r="J219" t="s">
        <v>37</v>
      </c>
      <c r="L219" s="1" t="s">
        <v>426</v>
      </c>
      <c r="N219">
        <v>1</v>
      </c>
      <c r="O219" s="4">
        <v>46313</v>
      </c>
      <c r="P219">
        <v>0</v>
      </c>
      <c r="Q219" t="s">
        <v>430</v>
      </c>
    </row>
    <row r="220" spans="1:17" x14ac:dyDescent="0.25">
      <c r="A220">
        <v>219</v>
      </c>
      <c r="B220">
        <v>5</v>
      </c>
      <c r="C220" s="8" t="s">
        <v>307</v>
      </c>
      <c r="D220" t="s">
        <v>35</v>
      </c>
      <c r="E220">
        <v>0</v>
      </c>
      <c r="F220">
        <v>1</v>
      </c>
      <c r="G220" t="s">
        <v>289</v>
      </c>
      <c r="H220">
        <v>123</v>
      </c>
      <c r="I220" t="str">
        <f>C220 &amp; " " &amp;L220</f>
        <v xml:space="preserve">MOX/OFX RESULT XPERT XDR</v>
      </c>
      <c r="J220" t="s">
        <v>37</v>
      </c>
      <c r="L220" s="1" t="s">
        <v>426</v>
      </c>
      <c r="N220">
        <v>1</v>
      </c>
      <c r="O220" s="4">
        <v>46313</v>
      </c>
      <c r="P220">
        <v>0</v>
      </c>
      <c r="Q220" t="s">
        <v>431</v>
      </c>
    </row>
    <row r="221" spans="1:17" x14ac:dyDescent="0.25">
      <c r="A221">
        <v>220</v>
      </c>
      <c r="B221">
        <v>5</v>
      </c>
      <c r="C221" s="8" t="s">
        <v>432</v>
      </c>
      <c r="D221" t="s">
        <v>35</v>
      </c>
      <c r="E221">
        <v>0</v>
      </c>
      <c r="F221">
        <v>1</v>
      </c>
      <c r="G221" t="s">
        <v>288</v>
      </c>
      <c r="H221">
        <v>124</v>
      </c>
      <c r="I221" t="str">
        <f>C221 &amp; " " &amp;L221</f>
        <v xml:space="preserve">KM/AM/CM RESULT XPERT XDR</v>
      </c>
      <c r="J221" t="s">
        <v>37</v>
      </c>
      <c r="L221" s="1" t="s">
        <v>426</v>
      </c>
      <c r="N221">
        <v>1</v>
      </c>
      <c r="O221" s="4">
        <v>46313</v>
      </c>
      <c r="P221">
        <v>0</v>
      </c>
      <c r="Q221" t="s">
        <v>433</v>
      </c>
    </row>
    <row r="222" spans="1:17" x14ac:dyDescent="0.25">
      <c r="A222">
        <v>221</v>
      </c>
      <c r="B222" s="1">
        <v>5</v>
      </c>
      <c r="C222" t="s">
        <v>434</v>
      </c>
      <c r="D222" t="s">
        <v>35</v>
      </c>
      <c r="E222">
        <v>0</v>
      </c>
      <c r="F222">
        <v>1</v>
      </c>
      <c r="G222" t="s">
        <v>435</v>
      </c>
      <c r="H222">
        <v>125</v>
      </c>
      <c r="I222" t="str">
        <f>C222 &amp; " " &amp;L222</f>
        <v xml:space="preserve">ETHIONAMIDE RESULT XPERT XDR</v>
      </c>
      <c r="J222" t="s">
        <v>37</v>
      </c>
      <c r="L222" s="1" t="s">
        <v>426</v>
      </c>
      <c r="N222">
        <v>1</v>
      </c>
      <c r="O222" s="4">
        <v>46313</v>
      </c>
      <c r="P222">
        <v>0</v>
      </c>
      <c r="Q222" t="s">
        <v>436</v>
      </c>
    </row>
    <row r="223" spans="1:17" s="5" customFormat="1" x14ac:dyDescent="0.25">
      <c r="A223">
        <v>222</v>
      </c>
      <c r="B223">
        <v>5</v>
      </c>
      <c r="C223" t="s">
        <v>81</v>
      </c>
      <c r="D223" t="s">
        <v>39</v>
      </c>
      <c r="E223">
        <v>0</v>
      </c>
      <c r="F223">
        <v>1</v>
      </c>
      <c r="G223"/>
      <c r="H223">
        <v>126</v>
      </c>
      <c r="I223" t="str">
        <f>C223 &amp; " " &amp;L223</f>
        <v xml:space="preserve">TUBERCULOSIS TEST RESULT DATE XPERT XDR</v>
      </c>
      <c r="J223" t="s">
        <v>41</v>
      </c>
      <c r="K223"/>
      <c r="L223" t="s">
        <v>426</v>
      </c>
      <c r="M223"/>
      <c r="N223">
        <v>1</v>
      </c>
      <c r="O223" s="4">
        <v>46313</v>
      </c>
      <c r="P223">
        <v>0</v>
      </c>
      <c r="Q223" t="s">
        <v>437</v>
      </c>
    </row>
    <row r="224" spans="1:17" s="5" customFormat="1" x14ac:dyDescent="0.25">
      <c r="A224">
        <v>223</v>
      </c>
      <c r="B224">
        <v>5</v>
      </c>
      <c r="C224" t="s">
        <v>279</v>
      </c>
      <c r="D224" t="s">
        <v>39</v>
      </c>
      <c r="E224">
        <v>0</v>
      </c>
      <c r="F224">
        <v>1</v>
      </c>
      <c r="G224"/>
      <c r="H224">
        <v>127</v>
      </c>
      <c r="I224" t="str">
        <f>C224 &amp; " " &amp;L224</f>
        <v xml:space="preserve">DATE OF SENDING TO CULTURE XPERT XDR</v>
      </c>
      <c r="J224" t="s">
        <v>41</v>
      </c>
      <c r="K224"/>
      <c r="L224" t="s">
        <v>426</v>
      </c>
      <c r="M224"/>
      <c r="N224">
        <v>1</v>
      </c>
      <c r="O224" s="4">
        <v>46313</v>
      </c>
      <c r="P224">
        <v>0</v>
      </c>
      <c r="Q224" t="s">
        <v>438</v>
      </c>
    </row>
    <row r="225" spans="1:17" s="5" customFormat="1" x14ac:dyDescent="0.25">
      <c r="A225">
        <v>224</v>
      </c>
      <c r="B225">
        <v>5</v>
      </c>
      <c r="C225" t="s">
        <v>280</v>
      </c>
      <c r="D225" t="s">
        <v>39</v>
      </c>
      <c r="E225">
        <v>0</v>
      </c>
      <c r="F225">
        <v>1</v>
      </c>
      <c r="G225"/>
      <c r="H225">
        <v>128</v>
      </c>
      <c r="I225" t="str">
        <f>C225 &amp; " " &amp;L225</f>
        <v xml:space="preserve">DATE OF SENDING TO DST XPERT XDR</v>
      </c>
      <c r="J225" t="s">
        <v>41</v>
      </c>
      <c r="K225"/>
      <c r="L225" t="s">
        <v>426</v>
      </c>
      <c r="M225"/>
      <c r="N225">
        <v>1</v>
      </c>
      <c r="O225" s="4">
        <v>46313</v>
      </c>
      <c r="P225">
        <v>0</v>
      </c>
      <c r="Q225" t="s">
        <v>439</v>
      </c>
    </row>
    <row r="226" spans="1:17" s="5" customFormat="1" x14ac:dyDescent="0.25">
      <c r="A226">
        <v>225</v>
      </c>
      <c r="B226">
        <v>5</v>
      </c>
      <c r="C226" t="s">
        <v>282</v>
      </c>
      <c r="D226" t="s">
        <v>35</v>
      </c>
      <c r="E226">
        <v>0</v>
      </c>
      <c r="F226">
        <v>1</v>
      </c>
      <c r="G226" t="s">
        <v>295</v>
      </c>
      <c r="H226">
        <v>129</v>
      </c>
      <c r="I226" t="str">
        <f>C226 &amp; " " &amp;L226</f>
        <v xml:space="preserve">SENT TO CULTURE XPERT XDR</v>
      </c>
      <c r="J226" t="s">
        <v>37</v>
      </c>
      <c r="K226"/>
      <c r="L226" t="s">
        <v>426</v>
      </c>
      <c r="M226"/>
      <c r="N226">
        <v>1</v>
      </c>
      <c r="O226" s="4">
        <v>46313</v>
      </c>
      <c r="P226">
        <v>0</v>
      </c>
      <c r="Q226" t="s">
        <v>440</v>
      </c>
    </row>
    <row r="227" spans="1:17" s="5" customFormat="1" x14ac:dyDescent="0.25">
      <c r="A227">
        <v>226</v>
      </c>
      <c r="B227">
        <v>5</v>
      </c>
      <c r="C227" t="s">
        <v>281</v>
      </c>
      <c r="D227" t="s">
        <v>35</v>
      </c>
      <c r="E227">
        <v>0</v>
      </c>
      <c r="F227">
        <v>1</v>
      </c>
      <c r="G227" t="s">
        <v>294</v>
      </c>
      <c r="H227">
        <v>130</v>
      </c>
      <c r="I227" t="str">
        <f>C227 &amp; " " &amp;L227</f>
        <v xml:space="preserve">SENT TO DST XPERT XDR</v>
      </c>
      <c r="J227" t="s">
        <v>37</v>
      </c>
      <c r="K227"/>
      <c r="L227" t="s">
        <v>426</v>
      </c>
      <c r="M227"/>
      <c r="N227">
        <v>1</v>
      </c>
      <c r="O227" s="4">
        <v>46313</v>
      </c>
      <c r="P227">
        <v>0</v>
      </c>
      <c r="Q227" t="s">
        <v>441</v>
      </c>
    </row>
  </sheetData>
  <autoFilter ref="A1:Q227" xr:uid="{91536433-8730-4EA0-BCCE-0E80DA08A6A5}"/>
  <conditionalFormatting sqref="Q2:Q227">
    <cfRule type="duplicateValues" dxfId="0" priority="6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9C54872-1F16-424B-B54D-FE35FB683E33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6E7B120F-1CC7-4241-ABAE-E7AE1D754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test_types</vt:lpstr>
      <vt:lpstr>attribute_types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Ahmed</dc:creator>
  <cp:lastModifiedBy>Owais Ahmed</cp:lastModifiedBy>
  <dcterms:created xsi:type="dcterms:W3CDTF">2022-07-25T14:11:15Z</dcterms:created>
  <dcterms:modified xsi:type="dcterms:W3CDTF">2026-09-15T06:29:54Z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4163ff38-227f-4b1e-b186-68c212683177</vt:lpwstr>
  </property>
  <property fmtid="{D5CDD505-2E9C-101B-9397-08002B2CF9AE}" pid="3" name="ImportConnectionInfosXmlPartId">
    <vt:lpwstr>{59C54872-1F16-424B-B54D-FE35FB683E33}</vt:lpwstr>
  </property>
  <property fmtid="{D5CDD505-2E9C-101B-9397-08002B2CF9AE}" pid="4" name="ConnectionInfosStorage">
    <vt:lpwstr>WorkbookXmlParts</vt:lpwstr>
  </property>
</Properties>
</file>