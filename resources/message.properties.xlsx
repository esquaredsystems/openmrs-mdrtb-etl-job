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427"/>
  <workbookPr defaultThemeVersion="166925"/>
  <mc:AlternateContent xmlns:mc="http://schemas.openxmlformats.org/markup-compatibility/2006">
    <mc:Choice Requires="x15">
      <x15ac:absPath xmlns:x15ac="http://schemas.microsoft.com/office/spreadsheetml/2010/11/ac" url="https://d.docs.live.net/6abc7d4556b3b071/Documents/"/>
    </mc:Choice>
  </mc:AlternateContent>
  <xr:revisionPtr revIDLastSave="0" documentId="8_{FB70ADAF-D73B-4FAE-B738-6F8B83BB565E}" xr6:coauthVersionLast="47" xr6:coauthVersionMax="47" xr10:uidLastSave="{00000000-0000-0000-0000-000000000000}"/>
  <bookViews>
    <workbookView xWindow="-108" yWindow="-108" windowWidth="23256" windowHeight="12456" xr2:uid="{9FB8E929-6962-458C-BAD1-31643D00A7E5}"/>
  </bookViews>
  <sheets>
    <sheet name="en" sheetId="1" r:id="rId1"/>
    <sheet name="ru" sheetId="5" r:id="rId2"/>
    <sheet name="tj" sheetId="4" r:id="rId3"/>
  </sheets>
  <definedNames>
    <definedName name="_xlnm._FilterDatabase" localSheetId="0" hidden="1">en!$A$1:$B$1335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79" i="1" l="1" a="1"/>
  <c r="B379" i="1" s="1"/>
  <c r="B411" i="1" a="1"/>
  <c r="B411" i="1" s="1"/>
  <c r="B317" i="1" a="1"/>
  <c r="B317" i="1" s="1"/>
  <c r="B319" i="1" a="1"/>
  <c r="B319" i="1" s="1"/>
  <c r="B313" i="1" a="1"/>
  <c r="B313" i="1" s="1"/>
  <c r="B368" i="1" a="1"/>
  <c r="B368" i="1" s="1"/>
  <c r="B1338" i="5" a="1"/>
  <c r="B1338" i="5" s="1"/>
  <c r="B1339" i="5" a="1"/>
  <c r="B1339" i="5" s="1"/>
  <c r="B1340" i="5" a="1"/>
  <c r="B1340" i="5" s="1"/>
  <c r="B1343" i="5" a="1"/>
  <c r="B1343" i="5" s="1"/>
  <c r="B1344" i="5" a="1"/>
  <c r="B1344" i="5"/>
  <c r="B1345" i="5" a="1"/>
  <c r="B1345" i="5"/>
  <c r="B1346" i="5" a="1"/>
  <c r="B1346" i="5"/>
  <c r="B1347" i="5" a="1"/>
  <c r="B1347" i="5" s="1"/>
  <c r="B1350" i="5" a="1"/>
  <c r="B1350" i="5" s="1"/>
  <c r="B1371" i="5" a="1"/>
  <c r="B1371" i="5" s="1"/>
  <c r="B1372" i="5" a="1"/>
  <c r="B1372" i="5" s="1"/>
  <c r="B1374"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<sst xmlns="http://schemas.openxmlformats.org/spreadsheetml/2006/main" count="6959" uniqueCount="3849">
  <si>
    <t>&lt;!-- specifics how to display test results within a cell on the patient chart --&gt;</t>
  </si>
  <si>
    <t>&lt;!-- used by custom list section of patient lists --&gt;</t>
  </si>
  <si>
    <t>&lt;!-- used by the WHO and Outcome reports --&gt;</t>
  </si>
  <si>
    <t>&lt;!-- some vitals --&gt;</t>
  </si>
  <si>
    <t>mdrtb.title</t>
  </si>
  <si>
    <t>TB</t>
  </si>
  <si>
    <t>mdrtb.pcr</t>
  </si>
  <si>
    <t>PCR</t>
  </si>
  <si>
    <t>mdrtb.specimenOnly</t>
  </si>
  <si>
    <t>Specimen Only</t>
  </si>
  <si>
    <t>mdrtb.inhResistance</t>
  </si>
  <si>
    <t>INH Resistance</t>
  </si>
  <si>
    <t>mdrtb.mtbBurden</t>
  </si>
  <si>
    <t>MTB Burden</t>
  </si>
  <si>
    <t>mdrtb.addhainResults</t>
  </si>
  <si>
    <t>Add a HAIN Test Result for a New Specimen</t>
  </si>
  <si>
    <t>mdrtb.title.homepage</t>
  </si>
  <si>
    <t>TB Homepage</t>
  </si>
  <si>
    <t>mdrtb.switchToclassicView</t>
  </si>
  <si>
    <t>Switch to Classic View</t>
  </si>
  <si>
    <t>mdrtb.addDST</t>
  </si>
  <si>
    <t>Add DST</t>
  </si>
  <si>
    <t>mdrtb.Identifier</t>
  </si>
  <si>
    <t>Identifier</t>
  </si>
  <si>
    <t>mdrtb.name</t>
  </si>
  <si>
    <t>Name</t>
  </si>
  <si>
    <t>mdrtb.surname</t>
  </si>
  <si>
    <t>Surname</t>
  </si>
  <si>
    <t>mdrtb.dst</t>
  </si>
  <si>
    <t>DST</t>
  </si>
  <si>
    <t>mdrtb.gender</t>
  </si>
  <si>
    <t>Gender</t>
  </si>
  <si>
    <t>mdrtb.dsts</t>
  </si>
  <si>
    <t>DSTs</t>
  </si>
  <si>
    <t>mdrtb.bacteriologies</t>
  </si>
  <si>
    <t>Bacteriologies</t>
  </si>
  <si>
    <t>mdrtb.drug</t>
  </si>
  <si>
    <t>Drug</t>
  </si>
  <si>
    <t>mdrtb.result</t>
  </si>
  <si>
    <t>Result</t>
  </si>
  <si>
    <t>mdrtb.delete</t>
  </si>
  <si>
    <t>Delete</t>
  </si>
  <si>
    <t>mdrtb.cancel</t>
  </si>
  <si>
    <t>Cancel</t>
  </si>
  <si>
    <t>mdrtb.save</t>
  </si>
  <si>
    <t>Save</t>
  </si>
  <si>
    <t>mdrtb.done</t>
  </si>
  <si>
    <t>Done</t>
  </si>
  <si>
    <t>mdrtb.of</t>
  </si>
  <si>
    <t>of</t>
  </si>
  <si>
    <t>mdrtb.to</t>
  </si>
  <si>
    <t>to</t>
  </si>
  <si>
    <t>mdrtb.previous</t>
  </si>
  <si>
    <t>Previous</t>
  </si>
  <si>
    <t>mdrtb.next</t>
  </si>
  <si>
    <t>Next</t>
  </si>
  <si>
    <t>mdrtb.first</t>
  </si>
  <si>
    <t>First</t>
  </si>
  <si>
    <t>mdrtb.middle</t>
  </si>
  <si>
    <t>Middle</t>
  </si>
  <si>
    <t>mdrtb.last</t>
  </si>
  <si>
    <t>Last</t>
  </si>
  <si>
    <t>mdrtb.age</t>
  </si>
  <si>
    <t>Age</t>
  </si>
  <si>
    <t>mdrtb.ageUpper</t>
  </si>
  <si>
    <t>mdrtb.tribe</t>
  </si>
  <si>
    <t>Tribe</t>
  </si>
  <si>
    <t>mdrtb.mothersname</t>
  </si>
  <si>
    <t>mdrtb.birthdate</t>
  </si>
  <si>
    <t>Birthdate</t>
  </si>
  <si>
    <t>mdrtb.healthcenter</t>
  </si>
  <si>
    <t>Health Center</t>
  </si>
  <si>
    <t>mdrtb.loadingmessage</t>
  </si>
  <si>
    <t>Loading</t>
  </si>
  <si>
    <t>mdrtb.method</t>
  </si>
  <si>
    <t>Method</t>
  </si>
  <si>
    <t>mdrtb.sampleid</t>
  </si>
  <si>
    <t>Sample ID</t>
  </si>
  <si>
    <t>mdrtb.lab</t>
  </si>
  <si>
    <t>Lab</t>
  </si>
  <si>
    <t>mdrtb.comment</t>
  </si>
  <si>
    <t>Comment</t>
  </si>
  <si>
    <t>mdrtb.smear</t>
  </si>
  <si>
    <t>Bacterioscopy</t>
  </si>
  <si>
    <t>mdrtb.culture</t>
  </si>
  <si>
    <t>Culture</t>
  </si>
  <si>
    <t>mdrtb.sample</t>
  </si>
  <si>
    <t>Sample</t>
  </si>
  <si>
    <t>mdrtb.seeoverview</t>
  </si>
  <si>
    <t>See the MDR TB overview for this patient</t>
  </si>
  <si>
    <t>mdrtb.numberofbacilli</t>
  </si>
  <si>
    <t>Number of Bacilli</t>
  </si>
  <si>
    <t>mdrtb.numberofcolonies</t>
  </si>
  <si>
    <t>Number of Colonies</t>
  </si>
  <si>
    <t>mdrtb.mon</t>
  </si>
  <si>
    <t>Mon</t>
  </si>
  <si>
    <t>mdrtb.monday</t>
  </si>
  <si>
    <t>Monday</t>
  </si>
  <si>
    <t>mdrtb.tues</t>
  </si>
  <si>
    <t>Tues</t>
  </si>
  <si>
    <t>mdrtb.tuesday</t>
  </si>
  <si>
    <t>Tuesday</t>
  </si>
  <si>
    <t>mdrtb.wed</t>
  </si>
  <si>
    <t>Wed</t>
  </si>
  <si>
    <t>mdrtb.wednesday</t>
  </si>
  <si>
    <t>Wednesday</t>
  </si>
  <si>
    <t>mdrtb.thurs</t>
  </si>
  <si>
    <t>Thurs</t>
  </si>
  <si>
    <t>mdrtb.thursday</t>
  </si>
  <si>
    <t>Thursday</t>
  </si>
  <si>
    <t>mdrtb.fri</t>
  </si>
  <si>
    <t>Fri</t>
  </si>
  <si>
    <t>mdrtb.friday</t>
  </si>
  <si>
    <t>Friday</t>
  </si>
  <si>
    <t>mdrtb.saturday</t>
  </si>
  <si>
    <t>Saturday</t>
  </si>
  <si>
    <t>mdrtb.sat</t>
  </si>
  <si>
    <t>Sat</t>
  </si>
  <si>
    <t>mdrtb.sunday</t>
  </si>
  <si>
    <t>Sunday</t>
  </si>
  <si>
    <t>mdrtb.sun</t>
  </si>
  <si>
    <t>Sun</t>
  </si>
  <si>
    <t>mdrtb.january</t>
  </si>
  <si>
    <t>January</t>
  </si>
  <si>
    <t>mdrtb.jan</t>
  </si>
  <si>
    <t>Jan</t>
  </si>
  <si>
    <t>mdrtb.february</t>
  </si>
  <si>
    <t>February</t>
  </si>
  <si>
    <t>mdrtb.feb</t>
  </si>
  <si>
    <t>Feb</t>
  </si>
  <si>
    <t>mdrtb.march</t>
  </si>
  <si>
    <t>March</t>
  </si>
  <si>
    <t>mdrtb.mar</t>
  </si>
  <si>
    <t>Mar</t>
  </si>
  <si>
    <t>mdrtb.april</t>
  </si>
  <si>
    <t>April</t>
  </si>
  <si>
    <t>mdrtb.apr</t>
  </si>
  <si>
    <t>Apr</t>
  </si>
  <si>
    <t>mdrtb.may</t>
  </si>
  <si>
    <t>May</t>
  </si>
  <si>
    <t>mdrtb.june</t>
  </si>
  <si>
    <t>June</t>
  </si>
  <si>
    <t>mdrtb.jun</t>
  </si>
  <si>
    <t>Jun</t>
  </si>
  <si>
    <t>mdrtb.july</t>
  </si>
  <si>
    <t>July</t>
  </si>
  <si>
    <t>mdrtb.jul</t>
  </si>
  <si>
    <t>Jul</t>
  </si>
  <si>
    <t>mdrtb.august</t>
  </si>
  <si>
    <t>August</t>
  </si>
  <si>
    <t>mdrtb.aug</t>
  </si>
  <si>
    <t>Aug</t>
  </si>
  <si>
    <t>mdrtb.september</t>
  </si>
  <si>
    <t>September</t>
  </si>
  <si>
    <t>mdrtb.sept</t>
  </si>
  <si>
    <t>Sept</t>
  </si>
  <si>
    <t>mdrtb.october</t>
  </si>
  <si>
    <t>October</t>
  </si>
  <si>
    <t>mdrtb.oct</t>
  </si>
  <si>
    <t>Oct</t>
  </si>
  <si>
    <t>mdrtb.november</t>
  </si>
  <si>
    <t>November</t>
  </si>
  <si>
    <t>mdrtb.nov</t>
  </si>
  <si>
    <t>Nov</t>
  </si>
  <si>
    <t>mdrtb.december</t>
  </si>
  <si>
    <t>December</t>
  </si>
  <si>
    <t>mdrtb.dec</t>
  </si>
  <si>
    <t>Dec</t>
  </si>
  <si>
    <t>mdrtb.yes</t>
  </si>
  <si>
    <t>Yes</t>
  </si>
  <si>
    <t>mdrtb.no</t>
  </si>
  <si>
    <t>No</t>
  </si>
  <si>
    <t>mdrtb.concentration</t>
  </si>
  <si>
    <t>Concentration</t>
  </si>
  <si>
    <t>mdrtb.colonies</t>
  </si>
  <si>
    <t>Colonies</t>
  </si>
  <si>
    <t>mdrtb.direct</t>
  </si>
  <si>
    <t>Direct</t>
  </si>
  <si>
    <t>mdrtb.indirect</t>
  </si>
  <si>
    <t>Indirect</t>
  </si>
  <si>
    <t>mdrtb.coloniesincontrol</t>
  </si>
  <si>
    <t>Colonies in Control</t>
  </si>
  <si>
    <t>mdrtb.complete</t>
  </si>
  <si>
    <t>Complete</t>
  </si>
  <si>
    <t>mdrtb.none</t>
  </si>
  <si>
    <t>None</t>
  </si>
  <si>
    <t>mdrtb.remove</t>
  </si>
  <si>
    <t>Remove</t>
  </si>
  <si>
    <t>mdrtb.status</t>
  </si>
  <si>
    <t>Status</t>
  </si>
  <si>
    <t>mdrtb.treatmentstartdate</t>
  </si>
  <si>
    <t>Treatment Start Date</t>
  </si>
  <si>
    <t>mdrtb.clinic</t>
  </si>
  <si>
    <t>Clinic (last visit)</t>
  </si>
  <si>
    <t>mdrtb.provider</t>
  </si>
  <si>
    <t>Provider</t>
  </si>
  <si>
    <t>mdrtb.submit</t>
  </si>
  <si>
    <t>Submit</t>
  </si>
  <si>
    <t>mdrtb.enroll</t>
  </si>
  <si>
    <t>Enroll</t>
  </si>
  <si>
    <t>mdrtb.close</t>
  </si>
  <si>
    <t>Close</t>
  </si>
  <si>
    <t>mdrtb.activeOrders</t>
  </si>
  <si>
    <t>Active Orders</t>
  </si>
  <si>
    <t>mdrtb.completedOrders</t>
  </si>
  <si>
    <t>Completed Orders</t>
  </si>
  <si>
    <t>mdrtb.quinolones</t>
  </si>
  <si>
    <t>Quinolones</t>
  </si>
  <si>
    <t>mdrtb.frequency</t>
  </si>
  <si>
    <t>Frequency</t>
  </si>
  <si>
    <t>mdrtb.startdate</t>
  </si>
  <si>
    <t>Start Date</t>
  </si>
  <si>
    <t>mdrtb.instructions</t>
  </si>
  <si>
    <t>Instructions</t>
  </si>
  <si>
    <t>mdrtb.discontinue</t>
  </si>
  <si>
    <t>Discontinue</t>
  </si>
  <si>
    <t>mdrtb.discontinueddate</t>
  </si>
  <si>
    <t>Discontinued Date</t>
  </si>
  <si>
    <t>mdrtb.cancellowercase</t>
  </si>
  <si>
    <t>cancel</t>
  </si>
  <si>
    <t>mdrtb.perweek</t>
  </si>
  <si>
    <t>/week</t>
  </si>
  <si>
    <t>mdrtb.perday</t>
  </si>
  <si>
    <t>/day x</t>
  </si>
  <si>
    <t>mdrtb.enddate</t>
  </si>
  <si>
    <t>End Date</t>
  </si>
  <si>
    <t>mdrtb.viewdrugrequirements</t>
  </si>
  <si>
    <t>Drug Requirements Analysis</t>
  </si>
  <si>
    <t>mdrtb.numberofpatientstakingeachdrug</t>
  </si>
  <si>
    <t>Number of patients taking each drug</t>
  </si>
  <si>
    <t>mdrtb.simpleDrugUsage</t>
  </si>
  <si>
    <t>Drug Usage</t>
  </si>
  <si>
    <t>mdrtb.patientidentifier</t>
  </si>
  <si>
    <t>Patient Identifier</t>
  </si>
  <si>
    <t>mdrtb.patientidentifiertype</t>
  </si>
  <si>
    <t>Patient Identifier Type</t>
  </si>
  <si>
    <t>mdrtb.culturestatus</t>
  </si>
  <si>
    <t>Culture Status</t>
  </si>
  <si>
    <t>mdrtb.converted</t>
  </si>
  <si>
    <t>Converted on {0}</t>
  </si>
  <si>
    <t>mdrtb.district</t>
  </si>
  <si>
    <t>District</t>
  </si>
  <si>
    <t>mdrtb.outcome</t>
  </si>
  <si>
    <t>Outcome</t>
  </si>
  <si>
    <t>mdrtb.date</t>
  </si>
  <si>
    <t>Date</t>
  </si>
  <si>
    <t>mdrtb.datelowercase</t>
  </si>
  <si>
    <t>date</t>
  </si>
  <si>
    <t>mdrtb.type</t>
  </si>
  <si>
    <t>Type</t>
  </si>
  <si>
    <t>mdrtb.typelowercase</t>
  </si>
  <si>
    <t>type</t>
  </si>
  <si>
    <t>mdrtb.pulmonary</t>
  </si>
  <si>
    <t>Pulmonary</t>
  </si>
  <si>
    <t>mdrtb.extrapulmonary</t>
  </si>
  <si>
    <t>Extra-pulmonary</t>
  </si>
  <si>
    <t>mdrtb.location</t>
  </si>
  <si>
    <t>Location</t>
  </si>
  <si>
    <t>mdrtb.hiv</t>
  </si>
  <si>
    <t>HIV:</t>
  </si>
  <si>
    <t>mdrtb.treatmentsupporter</t>
  </si>
  <si>
    <t>Treatment&lt;Br&gt;Supporter:</t>
  </si>
  <si>
    <t>mdrtb.healthcentervillageofsupporter</t>
  </si>
  <si>
    <t>Health Center/Village Of Supporter</t>
  </si>
  <si>
    <t>mdrtb.healthcentervillageofsupporterTS</t>
  </si>
  <si>
    <t>Health Center/&lt;Br&gt;Village Of Supporter</t>
  </si>
  <si>
    <t>mdrtb.healthcentervillage</t>
  </si>
  <si>
    <t>Health Center/Village</t>
  </si>
  <si>
    <t>mdrtb.treatmentsupporterbirthdate</t>
  </si>
  <si>
    <t>Treatment Supporter Date Of Birth</t>
  </si>
  <si>
    <t>mdrtb.treatmentsupporterbirthdateTS</t>
  </si>
  <si>
    <t>Treatment Supporter&lt;br&gt; Date Of Birth</t>
  </si>
  <si>
    <t>mdrtb.createatreatmentsupporter</t>
  </si>
  <si>
    <t>Create A New Treatment Supporter</t>
  </si>
  <si>
    <t>mdrtb.relationship</t>
  </si>
  <si>
    <t>Relationship To Patient</t>
  </si>
  <si>
    <t>mdrtb.ispatient</t>
  </si>
  <si>
    <t>Is patient?</t>
  </si>
  <si>
    <t>mdrtb.istbpatient</t>
  </si>
  <si>
    <t>Is in MDR-TB program?</t>
  </si>
  <si>
    <t>mdrtb.positive</t>
  </si>
  <si>
    <t>Positive</t>
  </si>
  <si>
    <t>mdrtb.givenname</t>
  </si>
  <si>
    <t>Given Name</t>
  </si>
  <si>
    <t>mdrtb.familyname</t>
  </si>
  <si>
    <t>Family Name</t>
  </si>
  <si>
    <t>mdrtb.male</t>
  </si>
  <si>
    <t>Male</t>
  </si>
  <si>
    <t>mdrtb.female</t>
  </si>
  <si>
    <t>Female</t>
  </si>
  <si>
    <t>mdrtb.gender.M</t>
  </si>
  <si>
    <t>mdrtb.gender.F</t>
  </si>
  <si>
    <t>mdrtb.addnewtest</t>
  </si>
  <si>
    <t>Add New Test</t>
  </si>
  <si>
    <t>mdrtb.editthistest</t>
  </si>
  <si>
    <t>Edit this Test</t>
  </si>
  <si>
    <t>mdrtb.deletethistest</t>
  </si>
  <si>
    <t>Delete this Test</t>
  </si>
  <si>
    <t>mdrtb.latesttestresult</t>
  </si>
  <si>
    <t>Latest TB Test Result</t>
  </si>
  <si>
    <t>mdrtb.editthiscontact</t>
  </si>
  <si>
    <t>Edit this Contact</t>
  </si>
  <si>
    <t>mdrtb.addnewcontact</t>
  </si>
  <si>
    <t>Add New Contact</t>
  </si>
  <si>
    <t>mdrtb.makethiscontactapatient</t>
  </si>
  <si>
    <t>Make this contact a patient</t>
  </si>
  <si>
    <t>mdrtb.address</t>
  </si>
  <si>
    <t>Address</t>
  </si>
  <si>
    <t>mdrtb.address1</t>
  </si>
  <si>
    <t>mdrtb.address2</t>
  </si>
  <si>
    <t>Address 2</t>
  </si>
  <si>
    <t>mdrtb.townshipdivision</t>
  </si>
  <si>
    <t>Township</t>
  </si>
  <si>
    <t>mdrtb.cityvillage</t>
  </si>
  <si>
    <t>City/Village</t>
  </si>
  <si>
    <t>mdrtb.region</t>
  </si>
  <si>
    <t>Region</t>
  </si>
  <si>
    <t>mdrtb.phone</t>
  </si>
  <si>
    <t>Phone</t>
  </si>
  <si>
    <t>mdrtb.patienttype</t>
  </si>
  <si>
    <t>Patient Type</t>
  </si>
  <si>
    <t>mdrtb.editaddress</t>
  </si>
  <si>
    <t>Edit Address</t>
  </si>
  <si>
    <t>mdrtb.DWRfailedtoupdateaddress</t>
  </si>
  <si>
    <t>Failed to update address: DWR failure, check the logs</t>
  </si>
  <si>
    <t>mdrtb.DWRfailedtoupdatecontact</t>
  </si>
  <si>
    <t>Failed to update contact: DWR failure, check the logs</t>
  </si>
  <si>
    <t>mdrtb.findapersoninopenmrs</t>
  </si>
  <si>
    <t>Find a person</t>
  </si>
  <si>
    <t>mdrtb.or</t>
  </si>
  <si>
    <t>or</t>
  </si>
  <si>
    <t>mdrtb.youmustgiveapatientidentifier</t>
  </si>
  <si>
    <t>You must give a patient identifier and type for this patient.</t>
  </si>
  <si>
    <t>mdrtb.contactidentifier</t>
  </si>
  <si>
    <t>Contact Identifier</t>
  </si>
  <si>
    <t>mdrtb.knownmdr</t>
  </si>
  <si>
    <t>Known MDR</t>
  </si>
  <si>
    <t>mdrtb.nopatientsfound</t>
  </si>
  <si>
    <t>No results found for</t>
  </si>
  <si>
    <t>mdrtb.successfullyupdated</t>
  </si>
  <si>
    <t>(Successfully Updated)</t>
  </si>
  <si>
    <t>mdrtb.managetreatmentsupporters</t>
  </si>
  <si>
    <t>Manage Treatment Supporters</t>
  </si>
  <si>
    <t>mdrtb.removepersonastreatmentsupporter</t>
  </si>
  <si>
    <t>Remove Person As&lt;br&gt;Treatment Supporter</t>
  </si>
  <si>
    <t>mdrtb.edit</t>
  </si>
  <si>
    <t>Edit</t>
  </si>
  <si>
    <t>mdrtb.required</t>
  </si>
  <si>
    <t>Required</t>
  </si>
  <si>
    <t>mdrtb.choosearelationshiptype</t>
  </si>
  <si>
    <t>Choose a relationship type</t>
  </si>
  <si>
    <t>mdrtb.unspecified</t>
  </si>
  <si>
    <t>Unspecified</t>
  </si>
  <si>
    <t>mdrtb.basicDetails</t>
  </si>
  <si>
    <t>Basic Details</t>
  </si>
  <si>
    <t>mdrtb.patientLists</t>
  </si>
  <si>
    <t>Patient Lists</t>
  </si>
  <si>
    <t>mdrtb.viewListPatientPage</t>
  </si>
  <si>
    <t>View MDR Patient Lists</t>
  </si>
  <si>
    <t>mdrtb.viewDotsListPatientPage</t>
  </si>
  <si>
    <t>View DOTS Patient Lists</t>
  </si>
  <si>
    <t>mdrtb.enrollment</t>
  </si>
  <si>
    <t>MDR-TB Program Enrollment</t>
  </si>
  <si>
    <t>mdrtb.enrollment.ever</t>
  </si>
  <si>
    <t>Ever Enrolled</t>
  </si>
  <si>
    <t>mdrtb.enrollment.current</t>
  </si>
  <si>
    <t>Currently Enrolled</t>
  </si>
  <si>
    <t>mdrtb.enrollment.previous</t>
  </si>
  <si>
    <t>Previously Enrolled</t>
  </si>
  <si>
    <t>mdrtb.enrollment.never</t>
  </si>
  <si>
    <t>Never Enrolled</t>
  </si>
  <si>
    <t>mdrtb.noReports</t>
  </si>
  <si>
    <t>There are currently no reports</t>
  </si>
  <si>
    <t>mdrtb.tsActive</t>
  </si>
  <si>
    <t>Active</t>
  </si>
  <si>
    <t>mdrtb.reports</t>
  </si>
  <si>
    <t>Reports</t>
  </si>
  <si>
    <t>mdrtb.specimen.errors.noDateCollected</t>
  </si>
  <si>
    <t>Please specify a date collected.</t>
  </si>
  <si>
    <t>mdrtb.specimen.errors.dateCollectedInFuture</t>
  </si>
  <si>
    <t>The date collected must not be in the future.</t>
  </si>
  <si>
    <t>mdrtb.specimen.errors.noLocation</t>
  </si>
  <si>
    <t>Please specify a location.</t>
  </si>
  <si>
    <t>mdrtb.tests</t>
  </si>
  <si>
    <t>Tests</t>
  </si>
  <si>
    <t>mdrtb.view</t>
  </si>
  <si>
    <t>View</t>
  </si>
  <si>
    <t>mdrtb.locationCollected</t>
  </si>
  <si>
    <t>Location Collected</t>
  </si>
  <si>
    <t>mdrtb.dateSampleReceived</t>
  </si>
  <si>
    <t>Date sample received</t>
  </si>
  <si>
    <t>mdrtb.add</t>
  </si>
  <si>
    <t>Add</t>
  </si>
  <si>
    <t>mdrtb.accessionNumber</t>
  </si>
  <si>
    <t>Accession #</t>
  </si>
  <si>
    <t>mdrtb.collectedBy</t>
  </si>
  <si>
    <t>Collected By</t>
  </si>
  <si>
    <t>mdrtb.comments</t>
  </si>
  <si>
    <t>Comments</t>
  </si>
  <si>
    <t>mdrtb.directIndirect</t>
  </si>
  <si>
    <t>Direct/Indirect</t>
  </si>
  <si>
    <t>mdrtb.dateCollected</t>
  </si>
  <si>
    <t>Date Collected</t>
  </si>
  <si>
    <t>mdrtb.dateStarted</t>
  </si>
  <si>
    <t>Date started</t>
  </si>
  <si>
    <t>mdrtb.dateCompleted</t>
  </si>
  <si>
    <t>Date completed</t>
  </si>
  <si>
    <t>mdrtb.organismType</t>
  </si>
  <si>
    <t>Organism Type</t>
  </si>
  <si>
    <t>mdrtb.organismTypeNonCoded</t>
  </si>
  <si>
    <t>Organism Type Non-Coded</t>
  </si>
  <si>
    <t>mdrtb.dateOrdered</t>
  </si>
  <si>
    <t>Date ordered</t>
  </si>
  <si>
    <t>mdrtb.specimenDetails</t>
  </si>
  <si>
    <t>Specimen Details</t>
  </si>
  <si>
    <t>mdrtb.sampleType</t>
  </si>
  <si>
    <t>Sample Type</t>
  </si>
  <si>
    <t>mdrtb.appearance</t>
  </si>
  <si>
    <t>Appearance</t>
  </si>
  <si>
    <t>mdrtb.addASpecimen</t>
  </si>
  <si>
    <t>Add a Specimen</t>
  </si>
  <si>
    <t>mdrtb.addANewSpecimen</t>
  </si>
  <si>
    <t>Add a new Specimen</t>
  </si>
  <si>
    <t>mdrtb.bacteria</t>
  </si>
  <si>
    <t>Bacteria</t>
  </si>
  <si>
    <t>mdrtb.smears</t>
  </si>
  <si>
    <t>Smears</t>
  </si>
  <si>
    <t>mdrtb.month</t>
  </si>
  <si>
    <t>Month</t>
  </si>
  <si>
    <t>mdrtb.cultures</t>
  </si>
  <si>
    <t>Cultures</t>
  </si>
  <si>
    <t>mdrtb.visits</t>
  </si>
  <si>
    <t>Visits</t>
  </si>
  <si>
    <t>mdrtb.specimens</t>
  </si>
  <si>
    <t>Specimens</t>
  </si>
  <si>
    <t>mdrtb.regimen</t>
  </si>
  <si>
    <t>Regimen</t>
  </si>
  <si>
    <t>mdrtb.overview</t>
  </si>
  <si>
    <t>Overview</t>
  </si>
  <si>
    <t>mdrtb.addANewLabTest</t>
  </si>
  <si>
    <t>Add another Lab Test</t>
  </si>
  <si>
    <t>mdrtb.confirmDeleteTest</t>
  </si>
  <si>
    <t>Are you sure you want to delete this test?</t>
  </si>
  <si>
    <t>mdrtb.confirmDeleteSpecimen</t>
  </si>
  <si>
    <t>Are you sure you want to delete this specimen?</t>
  </si>
  <si>
    <t>mdrtb.treatmentEndDate</t>
  </si>
  <si>
    <t>Treatment End Date</t>
  </si>
  <si>
    <t>mdrtb.pending</t>
  </si>
  <si>
    <t>Pending</t>
  </si>
  <si>
    <t>mdrtb.unknown</t>
  </si>
  <si>
    <t>Unknown</t>
  </si>
  <si>
    <t>mdrtb.noChange</t>
  </si>
  <si>
    <t>No Change</t>
  </si>
  <si>
    <t>mdrtb.enrollment.date</t>
  </si>
  <si>
    <t>Enrollment Date</t>
  </si>
  <si>
    <t>mdrtb.enrollment.location</t>
  </si>
  <si>
    <t>Enrollment Location</t>
  </si>
  <si>
    <t>mdrtb.enrollment.completionDate</t>
  </si>
  <si>
    <t>Completion Date</t>
  </si>
  <si>
    <t>mdrtb.test.completed</t>
  </si>
  <si>
    <t>Completed on {1} at {0}</t>
  </si>
  <si>
    <t>mdrtb.test.started</t>
  </si>
  <si>
    <t>Started on {1} at {0}</t>
  </si>
  <si>
    <t>mdrtb.test.received</t>
  </si>
  <si>
    <t>Received by {0} at {1}</t>
  </si>
  <si>
    <t>mdrtb.test.ordered</t>
  </si>
  <si>
    <t>Ordered on {1} from {0}</t>
  </si>
  <si>
    <t>mdrtb.mdrtbDiagnosis</t>
  </si>
  <si>
    <t>MDR-TB Diagnosis</t>
  </si>
  <si>
    <t>mdrtb.labResultsStatus</t>
  </si>
  <si>
    <t>Bacteriology Status</t>
  </si>
  <si>
    <t>mdrtb.pendingLabResults</t>
  </si>
  <si>
    <t>Pending Lab Results</t>
  </si>
  <si>
    <t>mdrtb.alerts</t>
  </si>
  <si>
    <t>Alerts</t>
  </si>
  <si>
    <t>mdrtb.diagnosticSmear</t>
  </si>
  <si>
    <t>Diagnostic Smear</t>
  </si>
  <si>
    <t>mdrtb.mostRecentSmear</t>
  </si>
  <si>
    <t>Most Recent Bacterioscopy</t>
  </si>
  <si>
    <t>mdrtb.noSmearResults</t>
  </si>
  <si>
    <t>No Bacterioscopy results for this patient</t>
  </si>
  <si>
    <t>mdrtb.smearFormatter</t>
  </si>
  <si>
    <t>{0} on {1}, tested at {2}</t>
  </si>
  <si>
    <t>mdrtb.diagnosticCulture</t>
  </si>
  <si>
    <t>Diagnostic Culture</t>
  </si>
  <si>
    <t>mdrtb.mostRecentCulture</t>
  </si>
  <si>
    <t>Most Recent Culture</t>
  </si>
  <si>
    <t>mdrtb.noCultureResults</t>
  </si>
  <si>
    <t>No culture results for this patient</t>
  </si>
  <si>
    <t>mdrtb.cultureFormatter</t>
  </si>
  <si>
    <t>mdrtb.labResultsStatus.started</t>
  </si>
  <si>
    <t>{2} started on {1} at {0}</t>
  </si>
  <si>
    <t>mdrtb.labResultsStatus.received</t>
  </si>
  <si>
    <t>{2} received by {0} at {1}</t>
  </si>
  <si>
    <t>mdrtb.labResultsStatus.ordered</t>
  </si>
  <si>
    <t>{2} ordered on {1} from {0}</t>
  </si>
  <si>
    <t>mdrtb.labResultsStatus.unknown</t>
  </si>
  <si>
    <t>{0} with status unknown</t>
  </si>
  <si>
    <t>mdrtb.resistanceType</t>
  </si>
  <si>
    <t>Resistance Type</t>
  </si>
  <si>
    <t>mdrtb.confirmed</t>
  </si>
  <si>
    <t>Confirmed</t>
  </si>
  <si>
    <t>mdrtb.monoResistantTb</t>
  </si>
  <si>
    <t>Mono-resistant TB</t>
  </si>
  <si>
    <t>mdrtb.polyResistantTb</t>
  </si>
  <si>
    <t>Poly-resistant TB</t>
  </si>
  <si>
    <t>mdrtb.mdrtb</t>
  </si>
  <si>
    <t>MDR-TB</t>
  </si>
  <si>
    <t>mdrtb.xdrtb</t>
  </si>
  <si>
    <t>XDR-TB</t>
  </si>
  <si>
    <t>mdrtb.notConverted</t>
  </si>
  <si>
    <t>Not Converted</t>
  </si>
  <si>
    <t>mdrtb.treatmentStatus</t>
  </si>
  <si>
    <t>Treatment Status</t>
  </si>
  <si>
    <t>mdrtb.onTreatment</t>
  </si>
  <si>
    <t>Currently on treatment</t>
  </si>
  <si>
    <t>mdrtb.notOnTreatment</t>
  </si>
  <si>
    <t>Currently not on treatment</t>
  </si>
  <si>
    <t>mdrtb.present</t>
  </si>
  <si>
    <t>Present</t>
  </si>
  <si>
    <t>mdrtb.chart</t>
  </si>
  <si>
    <t>Chart</t>
  </si>
  <si>
    <t>mdrtb.programStatus</t>
  </si>
  <si>
    <t>Program Status</t>
  </si>
  <si>
    <t>mdrtb.editProgram</t>
  </si>
  <si>
    <t>Edit Program</t>
  </si>
  <si>
    <t>mdrtb.closeProgram</t>
  </si>
  <si>
    <t>Close Program</t>
  </si>
  <si>
    <t>mdrtb.enrollment.enroll</t>
  </si>
  <si>
    <t>Enroll in Program</t>
  </si>
  <si>
    <t>mdrtb.enrollment.enrollMdrtb</t>
  </si>
  <si>
    <t>Enroll in MDR-TB Program</t>
  </si>
  <si>
    <t>mdrtb.completionDate</t>
  </si>
  <si>
    <t>mdrtb.previousDrugClassification</t>
  </si>
  <si>
    <t>Registration Group - Previous Drug Use</t>
  </si>
  <si>
    <t>mdrtb.previousTreatmentClassification</t>
  </si>
  <si>
    <t>Registration Group - Previous Treatment</t>
  </si>
  <si>
    <t>mdrtb.visitStatus</t>
  </si>
  <si>
    <t>Visit Status</t>
  </si>
  <si>
    <t>mdrtb.visitStatus.visit</t>
  </si>
  <si>
    <t>{0} at {1}</t>
  </si>
  <si>
    <t>mdrtb.intake</t>
  </si>
  <si>
    <t>Intake</t>
  </si>
  <si>
    <t>mdrtb.intakeVisit</t>
  </si>
  <si>
    <t>Intake Visit</t>
  </si>
  <si>
    <t>mdrtb.mostRecentFollowUp</t>
  </si>
  <si>
    <t>Most Recent Follow-up</t>
  </si>
  <si>
    <t>mdrtb.mostRecentSpecimenCollection</t>
  </si>
  <si>
    <t>Most Recent Specimen Collection</t>
  </si>
  <si>
    <t>mdrtb.nextScheduledFollowUp</t>
  </si>
  <si>
    <t>Next Scheduled Follow-up</t>
  </si>
  <si>
    <t>mdrtb.followUpVisits</t>
  </si>
  <si>
    <t>Form89</t>
  </si>
  <si>
    <t>mdrtb.specimenCollections</t>
  </si>
  <si>
    <t>Specimen Collections</t>
  </si>
  <si>
    <t>mdrtb.scheduledFollowUpVisits</t>
  </si>
  <si>
    <t>Future Follow-up Visits Scheduled</t>
  </si>
  <si>
    <t>mdrtb.addIntakeVisit</t>
  </si>
  <si>
    <t>mdrtb.addFollowUpVisit</t>
  </si>
  <si>
    <t>mdrtb.addTransferOutVisit</t>
  </si>
  <si>
    <t>Transfer Out</t>
  </si>
  <si>
    <t>mdrtb.addTransferInVisit</t>
  </si>
  <si>
    <t>Transfer In</t>
  </si>
  <si>
    <t>mdrtb.testResultsStatus</t>
  </si>
  <si>
    <t>{0} on {1}</t>
  </si>
  <si>
    <t>mdrtb.hivStatus</t>
  </si>
  <si>
    <t>HIV Status</t>
  </si>
  <si>
    <t>mdrtb.mostRecentTestResult</t>
  </si>
  <si>
    <t>Most Recent Test Result</t>
  </si>
  <si>
    <t>mdrtb.mostRecentCd4Count</t>
  </si>
  <si>
    <t>Most Recent CD4 Count</t>
  </si>
  <si>
    <t>mdrtb.currentRegimen</t>
  </si>
  <si>
    <t>Current Regimen</t>
  </si>
  <si>
    <t>mdrtb.artTreatment</t>
  </si>
  <si>
    <t>ART Treatment</t>
  </si>
  <si>
    <t>mdrtb.completePending</t>
  </si>
  <si>
    <t>Partial results; further tests pending</t>
  </si>
  <si>
    <t>mdrtb.addTestResults</t>
  </si>
  <si>
    <t>Add Test Results</t>
  </si>
  <si>
    <t>mdrtb.hospitalizations</t>
  </si>
  <si>
    <t>Hospitalizations</t>
  </si>
  <si>
    <t>mdrtb.currentlyHospitalized</t>
  </si>
  <si>
    <t>Currently hospitalized</t>
  </si>
  <si>
    <t>mdrtb.notCurrentlyHospitalized</t>
  </si>
  <si>
    <t>Not currently hospitalized</t>
  </si>
  <si>
    <t>mdrtb.admissionDate</t>
  </si>
  <si>
    <t>Admission Date</t>
  </si>
  <si>
    <t>mdrtb.dischargeDate</t>
  </si>
  <si>
    <t>Discharge Date</t>
  </si>
  <si>
    <t>mdrtb.duration</t>
  </si>
  <si>
    <t>Duration</t>
  </si>
  <si>
    <t>mdrtb.editHospitalization</t>
  </si>
  <si>
    <t>Edit Hospitalization</t>
  </si>
  <si>
    <t>mdrtb.addHospitalization</t>
  </si>
  <si>
    <t>Add Hospitalization</t>
  </si>
  <si>
    <t>mdrtb.confirmDeleteHospitalization</t>
  </si>
  <si>
    <t>Are you sure you want to delete this hospitalization?</t>
  </si>
  <si>
    <t>mdrtb.intakeForm</t>
  </si>
  <si>
    <t>TB03</t>
  </si>
  <si>
    <t>mdrtb.followupForm</t>
  </si>
  <si>
    <t>mdrtb.site</t>
  </si>
  <si>
    <t>Site</t>
  </si>
  <si>
    <t>mdrtb.currentlyViewing</t>
  </si>
  <si>
    <t>Currently viewing</t>
  </si>
  <si>
    <t>mdrtb.activeMdrtbProgramSelector</t>
  </si>
  <si>
    <t>Active MDR-TB Program, started on</t>
  </si>
  <si>
    <t>mdrtb.closedMdrtbProgramSelector</t>
  </si>
  <si>
    <t>MDR-TB program from</t>
  </si>
  <si>
    <t>mdrtb.addNewMdrtbProgram</t>
  </si>
  <si>
    <t>Add new MDR-TB program</t>
  </si>
  <si>
    <t>mdrtb.at</t>
  </si>
  <si>
    <t>at</t>
  </si>
  <si>
    <t>mdrtb.smearStatus</t>
  </si>
  <si>
    <t>Bacterioscopy Status</t>
  </si>
  <si>
    <t>mdrtb.daysToPositivity</t>
  </si>
  <si>
    <t>Days to Positivity</t>
  </si>
  <si>
    <t>mdrtb.outputFormat</t>
  </si>
  <si>
    <t>Output as</t>
  </si>
  <si>
    <t>mdrtb.preview</t>
  </si>
  <si>
    <t>Preview</t>
  </si>
  <si>
    <t>mdrtb.run</t>
  </si>
  <si>
    <t>Run</t>
  </si>
  <si>
    <t>mdrtb.mdrtbShortSummary</t>
  </si>
  <si>
    <t>MDR-TB Short Summary</t>
  </si>
  <si>
    <t>mdrtb.activePatients</t>
  </si>
  <si>
    <t>Active MDR-TB Patients</t>
  </si>
  <si>
    <t>mdrtb.mdrtbCustomList</t>
  </si>
  <si>
    <t>Custom Details</t>
  </si>
  <si>
    <t>mdrtb.gender.</t>
  </si>
  <si>
    <t>mdrtb.configure</t>
  </si>
  <si>
    <t>Configure</t>
  </si>
  <si>
    <t>mdrtb.configureColumns</t>
  </si>
  <si>
    <t>Configure Columns</t>
  </si>
  <si>
    <t>mdrtb.optionally</t>
  </si>
  <si>
    <t>Optionally</t>
  </si>
  <si>
    <t>mdrtb.sortBy</t>
  </si>
  <si>
    <t>Sort by</t>
  </si>
  <si>
    <t>mdrtb.exportToExcel</t>
  </si>
  <si>
    <t>Export to Excel</t>
  </si>
  <si>
    <t>mdrtb.outputToList</t>
  </si>
  <si>
    <t>List</t>
  </si>
  <si>
    <t>mdrtb.chooseColumnsToDisplay</t>
  </si>
  <si>
    <t>Choose Columns to Display</t>
  </si>
  <si>
    <t>mdrtb.choosePatientsToDisplay</t>
  </si>
  <si>
    <t>Choose Patients to Display</t>
  </si>
  <si>
    <t>mdrtb.latest</t>
  </si>
  <si>
    <t>Latest</t>
  </si>
  <si>
    <t>mdrtb.patientId</t>
  </si>
  <si>
    <t>EMR ID</t>
  </si>
  <si>
    <t>mdrtb.deathDate</t>
  </si>
  <si>
    <t>Date of Death</t>
  </si>
  <si>
    <t>mdrtb.causeOfDeath</t>
  </si>
  <si>
    <t>Cause of Death</t>
  </si>
  <si>
    <t>mdrtb.confirmDeleteVisit</t>
  </si>
  <si>
    <t>Are you sure you want to delete this visit?</t>
  </si>
  <si>
    <t>mdrtb.back</t>
  </si>
  <si>
    <t>Back</t>
  </si>
  <si>
    <t>mdrtb.form.errors.noEncounterDatetime</t>
  </si>
  <si>
    <t>Please specify a visit date.</t>
  </si>
  <si>
    <t>mdrtb.form.errors.noLocation</t>
  </si>
  <si>
    <t>mdrtb.form.errors.noProvider</t>
  </si>
  <si>
    <t>Please specify a provider.</t>
  </si>
  <si>
    <t>mdrtb.program.errors.noDateEnrolled</t>
  </si>
  <si>
    <t>Please specify an enrollment date.</t>
  </si>
  <si>
    <t>mdrtb.program.errors.noLocation</t>
  </si>
  <si>
    <t>Please specify an enrollment location.</t>
  </si>
  <si>
    <t>mdrtb.program.errors.noOutcome</t>
  </si>
  <si>
    <t>Please specify an outcome.</t>
  </si>
  <si>
    <t>mdrtb.program.errors.dateEnrolledInFuture</t>
  </si>
  <si>
    <t>The date enrolled cannot be in the future.</t>
  </si>
  <si>
    <t>mdrtb.program.errors.dateCompletedInFuture</t>
  </si>
  <si>
    <t>The date completed cannot be in the future.</t>
  </si>
  <si>
    <t>mdrtb.program.errors.dateCompletedBeforeDateEnrolled</t>
  </si>
  <si>
    <t>The program completion date cannot be before the enrollment date.</t>
  </si>
  <si>
    <t>mdrtb.program.errors.programOverlap</t>
  </si>
  <si>
    <t>This program overlaps with an existing MDR-TB program enrollment for this patient.</t>
  </si>
  <si>
    <t>mdrtb.program.errors.hospitalizationOverlap</t>
  </si>
  <si>
    <t>Hospitalization dates cannot overlap.</t>
  </si>
  <si>
    <t>mdrtb.program.errors.noHospitalizationStartDate</t>
  </si>
  <si>
    <t>Please specify an admission date.</t>
  </si>
  <si>
    <t>mdrtb.program.errors.dischargeDateBeforeAdmissionDate</t>
  </si>
  <si>
    <t>The discharge date cannot be before the admission date.</t>
  </si>
  <si>
    <t>mdrtb.program.errors.admissionDateInFuture</t>
  </si>
  <si>
    <t>The admission date cannot be in the future.</t>
  </si>
  <si>
    <t>mdrtb.program.errors.dischargeDateInFuture</t>
  </si>
  <si>
    <t>The discharge date cannot be in the future.</t>
  </si>
  <si>
    <t>mdrtb.specimen.errors.noCollector</t>
  </si>
  <si>
    <t>Please specify who collected this sample.</t>
  </si>
  <si>
    <t>mdrtb.specimen.errors.noLab</t>
  </si>
  <si>
    <t>Please specify a laboratory.</t>
  </si>
  <si>
    <t>mdrtb.specimen.errors.dateOrderedInFuture</t>
  </si>
  <si>
    <t>The date ordered cannot be in the future.</t>
  </si>
  <si>
    <t>mdrtb.specimen.errors.dateReceivedInFuture</t>
  </si>
  <si>
    <t>The date received cannot be in the future.</t>
  </si>
  <si>
    <t>mdrtb.specimen.errors.dateStartedInFuture</t>
  </si>
  <si>
    <t>The date started cannot be in the future.</t>
  </si>
  <si>
    <t>mdrtb.specimen.errors.dateCompletedInFuture</t>
  </si>
  <si>
    <t>mdrtb.specimen.errors.dateCompletedBeforeDateStarted</t>
  </si>
  <si>
    <t>The date completed cannot be before the date started.</t>
  </si>
  <si>
    <t>mdrtb.specimen.errors.dateCompletedBeforeDateReceived</t>
  </si>
  <si>
    <t>The date completed cannot be before the date received</t>
  </si>
  <si>
    <t>mdrtb.specimen.errors.dateCompletedBeforeDateOrdered</t>
  </si>
  <si>
    <t>The date completed cannot be before the date ordered.</t>
  </si>
  <si>
    <t>mdrtb.specimen.errors.dateStartedBeforeDateReceived</t>
  </si>
  <si>
    <t>The date started cannot be before the date received.</t>
  </si>
  <si>
    <t>mdrtb.specimen.errors.dateStartedBeforeDateOrdered</t>
  </si>
  <si>
    <t>The date started cannot be before the date ordered.</t>
  </si>
  <si>
    <t>mdrtb.specimen.errors.dateReceivedBeforeDateOrdered</t>
  </si>
  <si>
    <t>The date received cannot be before the date ordered.</t>
  </si>
  <si>
    <t>mdrtb.deleteProgram</t>
  </si>
  <si>
    <t>Delete Program</t>
  </si>
  <si>
    <t>mdrtb.confirmDeleteProgram</t>
  </si>
  <si>
    <t>Are you sure you want to delete this program?</t>
  </si>
  <si>
    <t>mdrtb.addResultForNewSpecimen</t>
  </si>
  <si>
    <t>Add results for new specimen</t>
  </si>
  <si>
    <t>mdrtb.willBeAutoAssigned</t>
  </si>
  <si>
    <t>Will be auto-assigned</t>
  </si>
  <si>
    <t>mdrtb.patientDetails</t>
  </si>
  <si>
    <t>Patient Details</t>
  </si>
  <si>
    <t>mdrtb.similarPatients</t>
  </si>
  <si>
    <t>Similar Patients</t>
  </si>
  <si>
    <t>mdrtb.enrollNewPatient</t>
  </si>
  <si>
    <t>Enroll New Patient</t>
  </si>
  <si>
    <t>mdrtb.search.instructions</t>
  </si>
  <si>
    <t>To enroll a new patient, enter the patient's name and other information below.</t>
  </si>
  <si>
    <t>mdrtb.noChart</t>
  </si>
  <si>
    <t>No test results or regimen information available for this patient program.</t>
  </si>
  <si>
    <t>mdrtb.noSpecimens</t>
  </si>
  <si>
    <t>No specimen information available for this patient program.</t>
  </si>
  <si>
    <t>mdrtb.person.familyName.required</t>
  </si>
  <si>
    <t>A family name is required</t>
  </si>
  <si>
    <t>mdrtb.person.givenName.required</t>
  </si>
  <si>
    <t>A given name is required</t>
  </si>
  <si>
    <t>mdrtb.treatment</t>
  </si>
  <si>
    <t>Treatment</t>
  </si>
  <si>
    <t>mdrtb.prior</t>
  </si>
  <si>
    <t>Prior</t>
  </si>
  <si>
    <t>mdrtb.baseline</t>
  </si>
  <si>
    <t>Baseline</t>
  </si>
  <si>
    <t>mdrtb.estimated</t>
  </si>
  <si>
    <t>Estimated</t>
  </si>
  <si>
    <t>mdrtb.identifierNumbers</t>
  </si>
  <si>
    <t>ID Numbers(s)</t>
  </si>
  <si>
    <t>mdrtb.identifierType</t>
  </si>
  <si>
    <t>Identifier Type</t>
  </si>
  <si>
    <t>mdrtb.identifier</t>
  </si>
  <si>
    <t>mdrtb.identifierLocation</t>
  </si>
  <si>
    <t>mdrtb.similarPersonNotOnList</t>
  </si>
  <si>
    <t>I cannot find the person on the list</t>
  </si>
  <si>
    <t>mdrtb.similarPersonInstructions</t>
  </si>
  <si>
    <t xml:space="preserve">Here is a list of people who seem similar to the one you are about to create. If the person you are in the process of creating already exists, select them from the list below. Otherwise click the button below to continue creating a new person. </t>
  </si>
  <si>
    <t>mdrtb.formulation</t>
  </si>
  <si>
    <t>Formulation</t>
  </si>
  <si>
    <t>mdrtb.dose</t>
  </si>
  <si>
    <t>Dose</t>
  </si>
  <si>
    <t>mdrtb.autoExpireDate</t>
  </si>
  <si>
    <t>Scheduled Stop Date</t>
  </si>
  <si>
    <t>mdrtb.actualStopDate</t>
  </si>
  <si>
    <t>Actual Stop Date</t>
  </si>
  <si>
    <t>mdrtb.drugOrder.genericRequired</t>
  </si>
  <si>
    <t>Please specify a Drug</t>
  </si>
  <si>
    <t>mdrtb.drugOrder.startDateRequired</t>
  </si>
  <si>
    <t>Please specify a Start Date</t>
  </si>
  <si>
    <t>mdrtb.drugOrder.discontinuedReasonRequired</t>
  </si>
  <si>
    <t>Please specify a discontinued reason</t>
  </si>
  <si>
    <t>mdrtb.drugOrder.discontinuedDateRequired</t>
  </si>
  <si>
    <t>Please specify a discontinued date</t>
  </si>
  <si>
    <t>mdrtb.drugOrder.changeDateRequired</t>
  </si>
  <si>
    <t>Please specify a Change Date</t>
  </si>
  <si>
    <t>mdrtb.new</t>
  </si>
  <si>
    <t>New</t>
  </si>
  <si>
    <t>mdrtb.drugOrder</t>
  </si>
  <si>
    <t>Drug Order</t>
  </si>
  <si>
    <t>mdrtb.reasonDiscontinued</t>
  </si>
  <si>
    <t>Reason discontinued</t>
  </si>
  <si>
    <t>mdrtb.modifyExistingTreatmentChange</t>
  </si>
  <si>
    <t>Modify an existing treatment change</t>
  </si>
  <si>
    <t>mdrtb.started</t>
  </si>
  <si>
    <t>Started</t>
  </si>
  <si>
    <t>mdrtb.ended</t>
  </si>
  <si>
    <t>Ended</t>
  </si>
  <si>
    <t>mdrtb.addNewTreatmentChange</t>
  </si>
  <si>
    <t>Add a new treatment change</t>
  </si>
  <si>
    <t>mdrtb.onDate</t>
  </si>
  <si>
    <t>on date</t>
  </si>
  <si>
    <t>mdrtb.drugOrder.discontinuedReasonRequiredForAllStoppedOrders</t>
  </si>
  <si>
    <t>Please specify a discontinued reason for all stopped orders</t>
  </si>
  <si>
    <t>mdrtb.drugOrder.drugRequiredForAllNewOrders</t>
  </si>
  <si>
    <t>Please specify a drug for all new orders</t>
  </si>
  <si>
    <t>mdrtb.changesOn</t>
  </si>
  <si>
    <t>changes on</t>
  </si>
  <si>
    <t>mdrtb.changesToExistingOrders</t>
  </si>
  <si>
    <t>Changes to Existing Orders</t>
  </si>
  <si>
    <t>mdrtb.noExistingOrdersOnThisDate</t>
  </si>
  <si>
    <t>No existing orders on this date</t>
  </si>
  <si>
    <t>mdrtb.action</t>
  </si>
  <si>
    <t>Action</t>
  </si>
  <si>
    <t>mdrtb.reasonForStopping</t>
  </si>
  <si>
    <t>Reason for stopping</t>
  </si>
  <si>
    <t>mdrtb.stop</t>
  </si>
  <si>
    <t>Stop</t>
  </si>
  <si>
    <t>mdrtb.continue</t>
  </si>
  <si>
    <t>Continue</t>
  </si>
  <si>
    <t>mdrtb.continued</t>
  </si>
  <si>
    <t>Continued</t>
  </si>
  <si>
    <t>mdrtb.changesToTreatmentType</t>
  </si>
  <si>
    <t xml:space="preserve">Changes to Treatment Type </t>
  </si>
  <si>
    <t>mdrtb.startingTreatmentType</t>
  </si>
  <si>
    <t>Starting Treatment Type</t>
  </si>
  <si>
    <t>mdrtb.noOrdersAtStart</t>
  </si>
  <si>
    <t>Not on treatment</t>
  </si>
  <si>
    <t>mdrtb.changeToTreatmentType</t>
  </si>
  <si>
    <t>Change to Treatment Type</t>
  </si>
  <si>
    <t>mdrtb.newOrdersToStart</t>
  </si>
  <si>
    <t>New Orders to Start</t>
  </si>
  <si>
    <t>mdrtb.startStandardRegimen</t>
  </si>
  <si>
    <t>Start a standard regimen</t>
  </si>
  <si>
    <t>mdrtb.startIndividualDrugs</t>
  </si>
  <si>
    <t>Start individual drugs</t>
  </si>
  <si>
    <t>mdrtb.dateOfDeath.errors.required</t>
  </si>
  <si>
    <t>Please specify this patient's date of death.</t>
  </si>
  <si>
    <t>mdrtb.dateOfDeath.errors.dateInFuture</t>
  </si>
  <si>
    <t>The date of death cannot be in the future.</t>
  </si>
  <si>
    <t>mdrtb.program.errors.NoDateCompleted</t>
  </si>
  <si>
    <t>Please specify a date completed.</t>
  </si>
  <si>
    <t>mdrtb.deceased</t>
  </si>
  <si>
    <t>Deceased</t>
  </si>
  <si>
    <t>mdrtb.switchToRegimenView</t>
  </si>
  <si>
    <t>Switch to Regimen View</t>
  </si>
  <si>
    <t>mdrtb.switchToDrugView</t>
  </si>
  <si>
    <t>Switch to Drug View</t>
  </si>
  <si>
    <t>mdrtb.injectablePhaseInitial</t>
  </si>
  <si>
    <t>Injectable Phase Initial (H + KM + Z + OFX + PTO + CS)</t>
  </si>
  <si>
    <t>mdrtb.injectablePhaseContinuation</t>
  </si>
  <si>
    <t>Injectable Phase Continuation (KM + Z + OFX + PTO + CS)</t>
  </si>
  <si>
    <t>mdrtb.continuationPhaseWithoutZ</t>
  </si>
  <si>
    <t>Continuation Phase without Z (OFX + PTO + CS)</t>
  </si>
  <si>
    <t>mdrtb.continuationPhasePlusZ</t>
  </si>
  <si>
    <t>Continuation Phase plus Z (OFX + PTO + CS + Z)</t>
  </si>
  <si>
    <t>mdrtb.patientIsDeceased</t>
  </si>
  <si>
    <t>The patient is deceased</t>
  </si>
  <si>
    <t>mdrtb.causeOfDeath.errors.required</t>
  </si>
  <si>
    <t>Please specify the cause of death.</t>
  </si>
  <si>
    <t>mdrtb.smearSet</t>
  </si>
  <si>
    <t>Set of Smears</t>
  </si>
  <si>
    <t>mdrtb.specimen.errors.noLabForScannedLabReport</t>
  </si>
  <si>
    <t>Please specify a lab for this scanned lab report.</t>
  </si>
  <si>
    <t>mdrtb.forms</t>
  </si>
  <si>
    <t>Forms</t>
  </si>
  <si>
    <t>mdrtb.basicForm</t>
  </si>
  <si>
    <t>Simple Form</t>
  </si>
  <si>
    <t>mdrtb.selectForm</t>
  </si>
  <si>
    <t>Please select the form to use</t>
  </si>
  <si>
    <t>mdrtb.editTreatment</t>
  </si>
  <si>
    <t>Edit Treatment</t>
  </si>
  <si>
    <t>mdrtb.clinicianNotes</t>
  </si>
  <si>
    <t>Clinician Notes</t>
  </si>
  <si>
    <t>mdrtb.patientProgramClosed</t>
  </si>
  <si>
    <t>The patient program you are viewing is closed.</t>
  </si>
  <si>
    <t>mdrtb.specimen.errors.dateCollectedNotDuringProgram</t>
  </si>
  <si>
    <t>The date collected is outside of the current MDR-TB program.  If this date is correct, please choose another MDR-TB program enrollment, or modify the enrollment dates of the current program.</t>
  </si>
  <si>
    <t>mdrtb.voidReason.errors.required</t>
  </si>
  <si>
    <t>Please specify the void reason.</t>
  </si>
  <si>
    <t>mdrtb.migration</t>
  </si>
  <si>
    <t>Migration Scripts</t>
  </si>
  <si>
    <t>mdrtb.missingScannedLabReport</t>
  </si>
  <si>
    <t>Not found on this server</t>
  </si>
  <si>
    <t>mdrtb.indicatorReport.name</t>
  </si>
  <si>
    <t>MDR-TB Indicator Report</t>
  </si>
  <si>
    <t>mdrtb.indicatorReport.description</t>
  </si>
  <si>
    <t>Report on MDR-TB treatment to be completed monthly and quarterly</t>
  </si>
  <si>
    <t>mdrtb.indicatorReport.location</t>
  </si>
  <si>
    <t>mdrtb.indicatorReport.year</t>
  </si>
  <si>
    <t>Year</t>
  </si>
  <si>
    <t>mdrtb.indicatorReport.quarter</t>
  </si>
  <si>
    <t>Quarter (optional)</t>
  </si>
  <si>
    <t>mdrtb.indicatorReport.month</t>
  </si>
  <si>
    <t>Month (optional)</t>
  </si>
  <si>
    <t>mdrtb.indicatorReport.section3</t>
  </si>
  <si>
    <t>Diagnosis / Treatment and Follow-up or MDR-TB Patients</t>
  </si>
  <si>
    <t>mdrtb.indicatorReport.1.a</t>
  </si>
  <si>
    <t>Number of patients hospitalized for MDR-TB treatment - Newly Hospitalized</t>
  </si>
  <si>
    <t>mdrtb.indicatorReport.1.b</t>
  </si>
  <si>
    <t>Number of patients hospitalized for MDR-TB treatment - Total Hospitalized</t>
  </si>
  <si>
    <t>mdrtb.indicatorReport.2.a</t>
  </si>
  <si>
    <t>Number of new patients who started treatment for MDR-TB - Smear Positive</t>
  </si>
  <si>
    <t>mdrtb.indicatorReport.2.b</t>
  </si>
  <si>
    <t>Number of new patients who started treatment for MDR-TB - Smear Negative</t>
  </si>
  <si>
    <t>mdrtb.indicatorReport.2.c</t>
  </si>
  <si>
    <t>Number of new patients who started treatment for MDR-TB - Total</t>
  </si>
  <si>
    <t>mdrtb.indicatorReport.3</t>
  </si>
  <si>
    <t>Number of patients who have abandoned treatment</t>
  </si>
  <si>
    <t>mdrtb.indicatorReport.4</t>
  </si>
  <si>
    <t>Number of patients who have died</t>
  </si>
  <si>
    <t>mdrtb.indicatorReport.5</t>
  </si>
  <si>
    <t>Number of new MDR-TB patients who are HIV positive</t>
  </si>
  <si>
    <t>mdrtb.indicatorReport.6</t>
  </si>
  <si>
    <t>Number of patients referred-in for MDR-TB evaluation</t>
  </si>
  <si>
    <t>mdrtb.indicatorReport.7</t>
  </si>
  <si>
    <t>Number of patients with negative control smear</t>
  </si>
  <si>
    <t>mdrtb.indicatorReport.8</t>
  </si>
  <si>
    <t>Number of patients with positive control smear</t>
  </si>
  <si>
    <t>mdrtb.indicatorReport.9</t>
  </si>
  <si>
    <t>Number of patients with positive diagnostic culture</t>
  </si>
  <si>
    <t>mdrtb.indicatorReport.10</t>
  </si>
  <si>
    <t>Number of new patients with tests that confirm multi-drug resistance</t>
  </si>
  <si>
    <t>mdrtb.indicatorReport.11</t>
  </si>
  <si>
    <t>Number of patients that are in treatment but not hospitalized</t>
  </si>
  <si>
    <t>mdrtb.indicatorReport.12</t>
  </si>
  <si>
    <t>Number of patients with a pending culture</t>
  </si>
  <si>
    <t>mdrtb.indicatorReport.13</t>
  </si>
  <si>
    <t>Total Number of patients that are co-infected with MDR-TB and HIV</t>
  </si>
  <si>
    <t>mdrtb.indicatorReport.14</t>
  </si>
  <si>
    <t>Number of positive control cultures</t>
  </si>
  <si>
    <t>mdrtb.indicatorReport.15</t>
  </si>
  <si>
    <t>Number of negative control cultures</t>
  </si>
  <si>
    <t>mdrtb.indicatorReport.16</t>
  </si>
  <si>
    <t>Number of patients who have successfully completed treatment for MDR-TB</t>
  </si>
  <si>
    <t>mdrtb.indicatorReport.17</t>
  </si>
  <si>
    <t>Number of patients who have failed treatment for MDR-TB</t>
  </si>
  <si>
    <t>mdrtb.indicatorReport.18</t>
  </si>
  <si>
    <t>Number of patients who have resumed treatment for MDR-TB during the month</t>
  </si>
  <si>
    <t>mdrtb.indicatorReport.section4</t>
  </si>
  <si>
    <t>Distribution of patients according to their resistance pattern</t>
  </si>
  <si>
    <t>mdrtb.treatment.tb</t>
  </si>
  <si>
    <t>Tuberculosis Treatment</t>
  </si>
  <si>
    <t>mdrtb.treatment.hiv</t>
  </si>
  <si>
    <t>HIV Treatment</t>
  </si>
  <si>
    <t>mdrtb.treatment.other</t>
  </si>
  <si>
    <t>Other Treatment</t>
  </si>
  <si>
    <t>mdrtb.specimenReports</t>
  </si>
  <si>
    <t>Specimen Reports</t>
  </si>
  <si>
    <t>mdrtb.specimensWithPositiveSmearButNoCultureResults</t>
  </si>
  <si>
    <t>Specimens with positive smear results but no culture results</t>
  </si>
  <si>
    <t>mdrtb.specimensWithPositiveCultureButNoDstResults</t>
  </si>
  <si>
    <t>Specimens with positive culture results but no DST results</t>
  </si>
  <si>
    <t>mdrtb.specimensWithContaminatedTests</t>
  </si>
  <si>
    <t>Specimens reported as contaminated</t>
  </si>
  <si>
    <t>mdrtb.specimensWithNoResults</t>
  </si>
  <si>
    <t>Specimens with no test results</t>
  </si>
  <si>
    <t>mdrtb.submitQuery</t>
  </si>
  <si>
    <t>Submit Query</t>
  </si>
  <si>
    <t>mdrtb.specimenReports.dateRange1</t>
  </si>
  <si>
    <t>Report on specimens collected between</t>
  </si>
  <si>
    <t>mdrtb.specimenReports.dateRange2</t>
  </si>
  <si>
    <t>and</t>
  </si>
  <si>
    <t>mdrtb.specimenReports.daysSinceSmear1</t>
  </si>
  <si>
    <t>Show specimens with positive smear results more than</t>
  </si>
  <si>
    <t>mdrtb.specimenReports.daysSinceSmear2</t>
  </si>
  <si>
    <t>days old, but no culture results</t>
  </si>
  <si>
    <t>mdrtb.specimenReports.daysSinceCulture1</t>
  </si>
  <si>
    <t>Show specimens with positive culture results more than</t>
  </si>
  <si>
    <t>mdrtb.specimenReports.daysSinceCulture2</t>
  </si>
  <si>
    <t>days old, but no DST results</t>
  </si>
  <si>
    <t>mdrtb.specimenReports.showSpecimensTestedAt</t>
  </si>
  <si>
    <t>Show specimens tested at</t>
  </si>
  <si>
    <t>mdrtb.drugContraIndicatedByDst</t>
  </si>
  <si>
    <t>Drug contraindicated by DST</t>
  </si>
  <si>
    <t>mdrtb.addsmearResults</t>
  </si>
  <si>
    <t>Add a Smear Result for a New Specimen</t>
  </si>
  <si>
    <t>mdrtb.addcultureResults</t>
  </si>
  <si>
    <t>Add a Culture Result for a New Specimen</t>
  </si>
  <si>
    <t>mdrtb.addsmearSetResults</t>
  </si>
  <si>
    <t>Add a Set of Smear Results for a New Specimen</t>
  </si>
  <si>
    <t>mdrtb.resistanceProfile</t>
  </si>
  <si>
    <t>Resistance Profile</t>
  </si>
  <si>
    <t>mdrtb.labResults</t>
  </si>
  <si>
    <t>Lab Results</t>
  </si>
  <si>
    <t>mdrtb.patient</t>
  </si>
  <si>
    <t>Patient</t>
  </si>
  <si>
    <t>mdrtb.resistanceProfiles</t>
  </si>
  <si>
    <t>Resistance Profiles</t>
  </si>
  <si>
    <t>mdrtb.firstName</t>
  </si>
  <si>
    <t>First Name</t>
  </si>
  <si>
    <t>mdrtb.lastName</t>
  </si>
  <si>
    <t>Last Name</t>
  </si>
  <si>
    <t>mdrtb.fullName</t>
  </si>
  <si>
    <t>Full Name</t>
  </si>
  <si>
    <t>mdrtb.cityVillage</t>
  </si>
  <si>
    <t>mdrtb.fullAddress</t>
  </si>
  <si>
    <t>Full Address</t>
  </si>
  <si>
    <t>mdrtb.dead</t>
  </si>
  <si>
    <t>Dead</t>
  </si>
  <si>
    <t>mdrtb.startingTbRegimen</t>
  </si>
  <si>
    <t>Starting TB Regimen</t>
  </si>
  <si>
    <t>mdrtb.startingTbRegimenDate</t>
  </si>
  <si>
    <t>Starting TB Regimen Date</t>
  </si>
  <si>
    <t>mdrtb.startingTbRegimenType</t>
  </si>
  <si>
    <t>Starting TB Regimen Type</t>
  </si>
  <si>
    <t>mdrtb.currentTbRegimen</t>
  </si>
  <si>
    <t>Current TB Regimen</t>
  </si>
  <si>
    <t>mdrtb.currentTbRegimenDate</t>
  </si>
  <si>
    <t>Current TB Regimen Date</t>
  </si>
  <si>
    <t>mdrtb.currentTbRegimenType</t>
  </si>
  <si>
    <t>Current TB Regimen Type</t>
  </si>
  <si>
    <t>mdrtb.currentHivRegimen</t>
  </si>
  <si>
    <t>Current HIV Regimen</t>
  </si>
  <si>
    <t>mdrtb.form05</t>
  </si>
  <si>
    <t>TB07u</t>
  </si>
  <si>
    <t>mdrtb.form06</t>
  </si>
  <si>
    <t>TB10u</t>
  </si>
  <si>
    <t>mdrtb.form07</t>
  </si>
  <si>
    <t>WHO Form 07</t>
  </si>
  <si>
    <t>mdrtb.form05.title</t>
  </si>
  <si>
    <t>Quarterly report on detected DR TB cases and start treatment with SLDs</t>
  </si>
  <si>
    <t>mdrtb.form06.title</t>
  </si>
  <si>
    <t>Assessment of preliminary results of confirmed MDR-TB cases conversion</t>
  </si>
  <si>
    <t>mdrtb.form07.title</t>
  </si>
  <si>
    <t>Annual report of treatment result of confirmed MDR-TB patients starting Category IV treatment</t>
  </si>
  <si>
    <t>mdrtb.outcomeReport</t>
  </si>
  <si>
    <t>Outcome Report</t>
  </si>
  <si>
    <t>mdrtb.outcomeReport.title</t>
  </si>
  <si>
    <t>Report on patient outcome by Category IV registration group for patients who started treatment during a given time period</t>
  </si>
  <si>
    <t>mdrtb.year</t>
  </si>
  <si>
    <t>mdrtb.yearOfTreatmentStart</t>
  </si>
  <si>
    <t>Year of treatment start</t>
  </si>
  <si>
    <t>mdrtb.quarter</t>
  </si>
  <si>
    <t>Quarter</t>
  </si>
  <si>
    <t>mdrtb.quarterOptional</t>
  </si>
  <si>
    <t>mdrtb.monthOptional</t>
  </si>
  <si>
    <t>mdrtb.facility</t>
  </si>
  <si>
    <t>Facility</t>
  </si>
  <si>
    <t>mdrtb.error.pleaseEnterAQuarter</t>
  </si>
  <si>
    <t>Please enter a quarter</t>
  </si>
  <si>
    <t>mdrtb.error.pleaseEnterAQuarterOrMonth</t>
  </si>
  <si>
    <t>Please enter a quarter or month</t>
  </si>
  <si>
    <t>mdrtb.error.pleasEnterAYear</t>
  </si>
  <si>
    <t>Please enter a valid year for this report</t>
  </si>
  <si>
    <t>mdrtb.temperature</t>
  </si>
  <si>
    <t>Temperature</t>
  </si>
  <si>
    <t>mdrtb.pulse</t>
  </si>
  <si>
    <t>Pulse</t>
  </si>
  <si>
    <t>mdrtb.systolicBloodPressure</t>
  </si>
  <si>
    <t>Systolic Blood Pressure</t>
  </si>
  <si>
    <t>mdrtb.respiratoryRate</t>
  </si>
  <si>
    <t>Respiratory Rate</t>
  </si>
  <si>
    <t>mdrtb.form.errors.weight</t>
  </si>
  <si>
    <t>Weight must be a numeric value.</t>
  </si>
  <si>
    <t>mdrtb.form.errors.temperature</t>
  </si>
  <si>
    <t>Temperature must be a numeric value.</t>
  </si>
  <si>
    <t>mdrtb.form.errors.pulse</t>
  </si>
  <si>
    <t>Pulse must be a numeric value.</t>
  </si>
  <si>
    <t>mdrtb.form.errors.systolicBloodPressure</t>
  </si>
  <si>
    <t>Blood pressure must be a numeric value.</t>
  </si>
  <si>
    <t>mdrtb.form.errors.respiratoryRate</t>
  </si>
  <si>
    <t>Respiratory rate must be a numeric value.</t>
  </si>
  <si>
    <t>mdrtb.addDSTResult</t>
  </si>
  <si>
    <t>Add DST Result</t>
  </si>
  <si>
    <t>mdrtb.enrolledLocation</t>
  </si>
  <si>
    <t>mdrtb.all</t>
  </si>
  <si>
    <t>All</t>
  </si>
  <si>
    <t>mdrtb.listPatients</t>
  </si>
  <si>
    <t>mdrtb.daysperweek</t>
  </si>
  <si>
    <t>days/week</t>
  </si>
  <si>
    <t>mdrtb.tb08</t>
  </si>
  <si>
    <t>TB-08u</t>
  </si>
  <si>
    <t>mdrtb.tb08Fast</t>
  </si>
  <si>
    <t>mdrtb.tb08.title</t>
  </si>
  <si>
    <t>Quarterly report on results of treatment of MDR TB patients started treatment on Category IV</t>
  </si>
  <si>
    <t>mdrtb.dstreport</t>
  </si>
  <si>
    <t>DST Report</t>
  </si>
  <si>
    <t>mdrtb.dstreport.title</t>
  </si>
  <si>
    <t>mdrtb.tb07</t>
  </si>
  <si>
    <t>TB-07u</t>
  </si>
  <si>
    <t>mdrtb.tb07.title</t>
  </si>
  <si>
    <t>mdrtb.sldreport</t>
  </si>
  <si>
    <t xml:space="preserve"> Patients Taking SLD</t>
  </si>
  <si>
    <t>mdrtb.sldreport.title</t>
  </si>
  <si>
    <t xml:space="preserve"> Report on number of MDR TB patients receiving SLD</t>
  </si>
  <si>
    <t>mdrtb.sldreport.between</t>
  </si>
  <si>
    <t>between</t>
  </si>
  <si>
    <t>mdrtb.sldreport.and</t>
  </si>
  <si>
    <t>mdrtb.sldreport.oblast</t>
  </si>
  <si>
    <t>Oblast/District</t>
  </si>
  <si>
    <t>mdrtb.sldreport.titleOfFacility</t>
  </si>
  <si>
    <t>Title of facility</t>
  </si>
  <si>
    <t>mdrtb.sldreport.dateOfCompletion</t>
  </si>
  <si>
    <t>Date of Completion</t>
  </si>
  <si>
    <t>mdrtb.sldreport.responsiblePerson</t>
  </si>
  <si>
    <t xml:space="preserve"> Responsible Person</t>
  </si>
  <si>
    <t>mdrtb.sldreport.number</t>
  </si>
  <si>
    <t xml:space="preserve"> No.</t>
  </si>
  <si>
    <t>mdrtb.sldreport.patientName</t>
  </si>
  <si>
    <t>Patient Name</t>
  </si>
  <si>
    <t>mdrtb.sldreport.treatmentStartDate</t>
  </si>
  <si>
    <t>Date of treatment start (month and year)</t>
  </si>
  <si>
    <t>mdrtb.sldreport.other</t>
  </si>
  <si>
    <t>Other</t>
  </si>
  <si>
    <t>mdrtb.sldreport.anotherCalculation</t>
  </si>
  <si>
    <t>Calculate</t>
  </si>
  <si>
    <t>mdrtb.sldreport.district</t>
  </si>
  <si>
    <t>mdrtb.sldreport.startDate</t>
  </si>
  <si>
    <t>mdrtb.sldreport.endDate</t>
  </si>
  <si>
    <t>mdrtb.sldreport.name</t>
  </si>
  <si>
    <t>Number of MDR TB patients receiving SLD</t>
  </si>
  <si>
    <t>mdrtb.xpert</t>
  </si>
  <si>
    <t>GeneXpert</t>
  </si>
  <si>
    <t>mdrtb.addxpertResults</t>
  </si>
  <si>
    <t>Add a GeneXpert Result for a New Specimen</t>
  </si>
  <si>
    <t>mdrtb.addHAIN</t>
  </si>
  <si>
    <t>Add HAIN1</t>
  </si>
  <si>
    <t>mdrtb.hain</t>
  </si>
  <si>
    <t>HAIN1</t>
  </si>
  <si>
    <t>mdrtb.rifResistance</t>
  </si>
  <si>
    <t>RIF Resistance</t>
  </si>
  <si>
    <t>mdrtb.errorCode</t>
  </si>
  <si>
    <t>Error Code</t>
  </si>
  <si>
    <t>mdrtb.rifResult</t>
  </si>
  <si>
    <t>mdrtb.inhResult</t>
  </si>
  <si>
    <t>mdrtb.xperts</t>
  </si>
  <si>
    <t>GeneXperts</t>
  </si>
  <si>
    <t>mdrtb.hains</t>
  </si>
  <si>
    <t>HAIN1s</t>
  </si>
  <si>
    <t>mdrtb.hain2s</t>
  </si>
  <si>
    <t>HAIN2s</t>
  </si>
  <si>
    <t>mdrtb.mdrreports</t>
  </si>
  <si>
    <t>MDR Reports</t>
  </si>
  <si>
    <t>mdrtb.dotsreports</t>
  </si>
  <si>
    <t xml:space="preserve"> DOTS Reports</t>
  </si>
  <si>
    <t>mdrtb.otherreports</t>
  </si>
  <si>
    <t>Other Reports</t>
  </si>
  <si>
    <t>mdrtb.dotsreport07</t>
  </si>
  <si>
    <t>TB-07</t>
  </si>
  <si>
    <t>mdrtb.dotsreport07Fast</t>
  </si>
  <si>
    <t>TB-07 (FAST)</t>
  </si>
  <si>
    <t>mdrtb.dotsreport10</t>
  </si>
  <si>
    <t>TB-10</t>
  </si>
  <si>
    <t>mdrtb.dotsreport08</t>
  </si>
  <si>
    <t>TB-08</t>
  </si>
  <si>
    <t>mdrtb.dotsreport08Fast</t>
  </si>
  <si>
    <t>TB-08 (FAST)</t>
  </si>
  <si>
    <t>mdrtb.form8.title</t>
  </si>
  <si>
    <t>Form 8</t>
  </si>
  <si>
    <t>mdrtb.dotsmdrreport</t>
  </si>
  <si>
    <t>Annual TB/MDR Report</t>
  </si>
  <si>
    <t>mdrtb.dotsoutcomeReport</t>
  </si>
  <si>
    <t>mdrtb.tb03</t>
  </si>
  <si>
    <t>mdrtb.tb03.name</t>
  </si>
  <si>
    <t xml:space="preserve"> Family Name, Given Name</t>
  </si>
  <si>
    <t>mdrtb.tb03u</t>
  </si>
  <si>
    <t>TB03u</t>
  </si>
  <si>
    <t>mdrtb.oblast</t>
  </si>
  <si>
    <t>Oblast</t>
  </si>
  <si>
    <t>mdrtb.tb03uExport</t>
  </si>
  <si>
    <t xml:space="preserve"> TB03y Export</t>
  </si>
  <si>
    <t>mdrtb.registrationDate</t>
  </si>
  <si>
    <t>Registration Date</t>
  </si>
  <si>
    <t>mdrtb.tb03.ageAtRegistration</t>
  </si>
  <si>
    <t>Age at Registration</t>
  </si>
  <si>
    <t>mdrtb.tb03.registrationNumber</t>
  </si>
  <si>
    <t>Registration Number</t>
  </si>
  <si>
    <t>mdrtb.tb03.dateOfRegistration</t>
  </si>
  <si>
    <t>Date of Registration</t>
  </si>
  <si>
    <t>mdrtb.tb03.tb03registration</t>
  </si>
  <si>
    <t>Registration No. in TB 03</t>
  </si>
  <si>
    <t>mdrtb.tb03.fullName</t>
  </si>
  <si>
    <t>mdrtb.tb03.gender</t>
  </si>
  <si>
    <t>Gender (M/F)</t>
  </si>
  <si>
    <t>mdrtb.tb03.gender.male</t>
  </si>
  <si>
    <t>M</t>
  </si>
  <si>
    <t>mdrtb.tb03.gender.female</t>
  </si>
  <si>
    <t>F</t>
  </si>
  <si>
    <t>mdrtb.tb03.ageDOB</t>
  </si>
  <si>
    <t>Age/Date of Birth</t>
  </si>
  <si>
    <t>mdrtb.tb03.dateOfBirth</t>
  </si>
  <si>
    <t>Date of Birth</t>
  </si>
  <si>
    <t>mdrtb.tb03.address</t>
  </si>
  <si>
    <t>Residential address</t>
  </si>
  <si>
    <t>mdrtb.tb03.addressRegII</t>
  </si>
  <si>
    <t>Registration No. on regimen II &lt;br/&gt; in the National TBC Center</t>
  </si>
  <si>
    <t>mdrtb.tb03.tbLocalization</t>
  </si>
  <si>
    <t>TB Localization (P/EP)</t>
  </si>
  <si>
    <t>mdrtb.tb03.siteOfDisease</t>
  </si>
  <si>
    <t>Site of TB disease</t>
  </si>
  <si>
    <t>mdrtb.tb03.treatmentSiteIP</t>
  </si>
  <si>
    <t>Treatment centre for IP</t>
  </si>
  <si>
    <t>mdrtb.tb03.treatmentSiteCP</t>
  </si>
  <si>
    <t>Treatment centre for CP</t>
  </si>
  <si>
    <t>mdrtb.tb03.registrationGroup</t>
  </si>
  <si>
    <t>Registration Group</t>
  </si>
  <si>
    <t>mdrtb.tb03.transferFrom</t>
  </si>
  <si>
    <t>Transferred from</t>
  </si>
  <si>
    <t>mdrtb.tb03.confirmedOrSuspect</t>
  </si>
  <si>
    <t>Confirmed&lt;br/&gt;/Suspect</t>
  </si>
  <si>
    <t>mdrtb.tb03.treatmentRegimen</t>
  </si>
  <si>
    <t>Treatment Regimen&lt;br/&gt;(StTR,ShTR,InTR)</t>
  </si>
  <si>
    <t>mdrtb.tb03.ambulatoryHosp</t>
  </si>
  <si>
    <t>Ambulatory&lt;br/&gt;/Hospitalization</t>
  </si>
  <si>
    <t>mdrtb.tb03.dstSampleCollectionDate</t>
  </si>
  <si>
    <t>Date of Sample Collection for DST</t>
  </si>
  <si>
    <t>mdrtb.tb03.dst</t>
  </si>
  <si>
    <t>DST Result (S/R)</t>
  </si>
  <si>
    <t>mdrtb.tb03.drugResistance</t>
  </si>
  <si>
    <t>Type of resistance&lt;br/&gt;on base of DST&lt;br/&gt;result (RR, MDR, PDR,&lt;br/&gt;Pre-XDR, XDR)</t>
  </si>
  <si>
    <t>mdrtb.tb03.tbHivActivities</t>
  </si>
  <si>
    <t>TB/HIV activities</t>
  </si>
  <si>
    <t>mdrtb.tb03.bacCultureResults</t>
  </si>
  <si>
    <t>Results of bacterioscopy (M) and culture (C) tests during treatment</t>
  </si>
  <si>
    <t>mdrtb.tb03.treatmentOutcomeDate</t>
  </si>
  <si>
    <t>Treatment Outcome and Date of Treatment Completion</t>
  </si>
  <si>
    <t>mdrtb.tb03.transferOut</t>
  </si>
  <si>
    <t>Transferred out</t>
  </si>
  <si>
    <t>mdrtb.transferOut</t>
  </si>
  <si>
    <t>Transfer out</t>
  </si>
  <si>
    <t>mdrtb.tb03.relapseYesNo</t>
  </si>
  <si>
    <t>Relapse&lt;br/&gt;(yes/no)</t>
  </si>
  <si>
    <t>mdrtb.tb03.notes</t>
  </si>
  <si>
    <t>Notes</t>
  </si>
  <si>
    <t>mdrtb.tb03.new</t>
  </si>
  <si>
    <t>New Case</t>
  </si>
  <si>
    <t>mdrtb.tb03.relapseAfter</t>
  </si>
  <si>
    <t>Relapse After Treatment&lt;br/&gt;on Regimen</t>
  </si>
  <si>
    <t>mdrtb.tb03.defaultAfter</t>
  </si>
  <si>
    <t>Default After Treatment&lt;br/&gt;on Regimen</t>
  </si>
  <si>
    <t>mdrtb.tb03.failureAfter</t>
  </si>
  <si>
    <t>Failure After Treatment&lt;br/&gt;on Regimen</t>
  </si>
  <si>
    <t>mdrtb.tb03.other</t>
  </si>
  <si>
    <t>mdrtb.tb03.dateOfConfirmation</t>
  </si>
  <si>
    <t xml:space="preserve"> Date of&lt;br/&gt;Confirmation</t>
  </si>
  <si>
    <t>mdrtb.tb03.treatmentStartDate</t>
  </si>
  <si>
    <t>Date of&lt;br/&gt;Treatment&lt;br/&gt;Start</t>
  </si>
  <si>
    <t>mdrtb.tb03.dstResultDate</t>
  </si>
  <si>
    <t>Date of DST Result</t>
  </si>
  <si>
    <t>mdrtb.tb03.diagnosticMethod</t>
  </si>
  <si>
    <t>Method of diagnostic</t>
  </si>
  <si>
    <t>mdrtb.tb03.hivTest</t>
  </si>
  <si>
    <t>HIV test</t>
  </si>
  <si>
    <t>mdrtb.tb03.artTest</t>
  </si>
  <si>
    <t>ART (Yes/No)&lt;br/&gt;Date of Start</t>
  </si>
  <si>
    <t>mdrtb.tb03.cpTest</t>
  </si>
  <si>
    <t>PTC (Yes/No)&lt;br/&gt;Date of Start</t>
  </si>
  <si>
    <t>mdrtb.tb03.month0</t>
  </si>
  <si>
    <t>0 month /date</t>
  </si>
  <si>
    <t>mdrtb.tb03.month1</t>
  </si>
  <si>
    <t>1 month /date</t>
  </si>
  <si>
    <t>mdrtb.tb03.month2</t>
  </si>
  <si>
    <t>2 month /date</t>
  </si>
  <si>
    <t>mdrtb.tb03.month3</t>
  </si>
  <si>
    <t>3 month /date</t>
  </si>
  <si>
    <t>mdrtb.tb03.month4</t>
  </si>
  <si>
    <t>4 month /date</t>
  </si>
  <si>
    <t>mdrtb.tb03.month5</t>
  </si>
  <si>
    <t>5 month /date</t>
  </si>
  <si>
    <t>mdrtb.tb03.month6</t>
  </si>
  <si>
    <t>6 month /date</t>
  </si>
  <si>
    <t>mdrtb.tb03.month7</t>
  </si>
  <si>
    <t>7 month /date</t>
  </si>
  <si>
    <t>mdrtb.tb03.month8</t>
  </si>
  <si>
    <t>8 month /date</t>
  </si>
  <si>
    <t>mdrtb.tb03.month9</t>
  </si>
  <si>
    <t>9 month /date</t>
  </si>
  <si>
    <t>mdrtb.tb03.month10</t>
  </si>
  <si>
    <t>10 month /date</t>
  </si>
  <si>
    <t>mdrtb.tb03.month11</t>
  </si>
  <si>
    <t>11 month /date</t>
  </si>
  <si>
    <t>mdrtb.tb03.month12</t>
  </si>
  <si>
    <t>12 month /date</t>
  </si>
  <si>
    <t>mdrtb.tb03.month15</t>
  </si>
  <si>
    <t>15 month /date</t>
  </si>
  <si>
    <t>mdrtb.tb03.month18</t>
  </si>
  <si>
    <t>18 month /date</t>
  </si>
  <si>
    <t>mdrtb.tb03.month21</t>
  </si>
  <si>
    <t>21 month /date</t>
  </si>
  <si>
    <t>mdrtb.tb03.month24</t>
  </si>
  <si>
    <t>24 month /date</t>
  </si>
  <si>
    <t>mdrtb.tb03.month27</t>
  </si>
  <si>
    <t>27 month /date</t>
  </si>
  <si>
    <t>mdrtb.tb03.month30</t>
  </si>
  <si>
    <t>30 month /date</t>
  </si>
  <si>
    <t>mdrtb.tb03.month33</t>
  </si>
  <si>
    <t>33 month /date</t>
  </si>
  <si>
    <t>mdrtb.tb03.month36</t>
  </si>
  <si>
    <t>36 month /date</t>
  </si>
  <si>
    <t>mdrtb.tb03.cured</t>
  </si>
  <si>
    <t>Cured</t>
  </si>
  <si>
    <t>mdrtb.tb03.txCompleted</t>
  </si>
  <si>
    <t>Treatment&lt;br/&gt;Completed</t>
  </si>
  <si>
    <t>mdrtb.tb03.died</t>
  </si>
  <si>
    <t>Died</t>
  </si>
  <si>
    <t>mdrtb.tb03.failure</t>
  </si>
  <si>
    <t>Treatment&lt;br/&gt;Failure</t>
  </si>
  <si>
    <t>mdrtb.tb03.ltfu</t>
  </si>
  <si>
    <t>Lost to&lt;br/&gt;follow-up</t>
  </si>
  <si>
    <t>mdrtb.tb03.relapseTxMonth</t>
  </si>
  <si>
    <t>At which&lt;br/&gt;month&lt;br/&gt;after&lt;br/&gt;treatment&lt;br/&gt;completion</t>
  </si>
  <si>
    <t>mdrtb.tb03.yesNoDate</t>
  </si>
  <si>
    <t>Yes/No&lt;br/&gt;Date</t>
  </si>
  <si>
    <t>mdrtb.tb03.resultPosNeg</t>
  </si>
  <si>
    <t>Result (pos/neg)</t>
  </si>
  <si>
    <t>mdrtb.tb03.smearShort</t>
  </si>
  <si>
    <t>mdrtb.tb03.cultureShort</t>
  </si>
  <si>
    <t>C</t>
  </si>
  <si>
    <t>mdrtb.tb03.ofTb</t>
  </si>
  <si>
    <t>of TB</t>
  </si>
  <si>
    <t>mdrtb.tb03.ofOther</t>
  </si>
  <si>
    <t>of other&lt;br/&gt;reasons</t>
  </si>
  <si>
    <t>mdrtb.tb03.hivStatus</t>
  </si>
  <si>
    <t>mdrtb.tb03.artStartDate</t>
  </si>
  <si>
    <t>ART Start Date</t>
  </si>
  <si>
    <t>mdrtb.tb03.cptStartDate</t>
  </si>
  <si>
    <t>PCT Start Date</t>
  </si>
  <si>
    <t>mdrtb.tb03.resistanceType</t>
  </si>
  <si>
    <t>mdrtb.tb03u.resistanceType</t>
  </si>
  <si>
    <t>Resistance Type at Start of Treatment</t>
  </si>
  <si>
    <t>mdrtb.tb03u.resistanceTypeDuringTreatment</t>
  </si>
  <si>
    <t>Resistance Type during Treatment</t>
  </si>
  <si>
    <t>mdrtb.tb03u.dateOfResistanceTypeDuringTreatment</t>
  </si>
  <si>
    <t>mdrtb.tb03.doseTakenIP</t>
  </si>
  <si>
    <t>Doses taken for IP</t>
  </si>
  <si>
    <t>mdrtb.tb03.doseMissedIP</t>
  </si>
  <si>
    <t>Doses missed for IP</t>
  </si>
  <si>
    <t>mdrtb.tb03.doseTakenCP</t>
  </si>
  <si>
    <t>Doses taken for CP</t>
  </si>
  <si>
    <t>mdrtb.tb03.doseMissedCP</t>
  </si>
  <si>
    <t>Doses missed for CP</t>
  </si>
  <si>
    <t>mdrtb.tb03.treatmentOutcome</t>
  </si>
  <si>
    <t>Treatment Outcome</t>
  </si>
  <si>
    <t>mdrtb.tb03.treatmentOutcomeDateOnly</t>
  </si>
  <si>
    <t>Date of Treatment Outcome</t>
  </si>
  <si>
    <t>mdrtb.tb03.afterOutcomeDeathDate</t>
  </si>
  <si>
    <t>Died during follow-up care (date of death)</t>
  </si>
  <si>
    <t>mdrtb.tb03.patientGroup</t>
  </si>
  <si>
    <t>mdrtb.tb03.tb03RegistrationNumber</t>
  </si>
  <si>
    <t>TB03 Registration Number</t>
  </si>
  <si>
    <t>mdrtb.tb03.tb03RegistrationYear</t>
  </si>
  <si>
    <t>TB03 Registration Year</t>
  </si>
  <si>
    <t>mdrtb.tb03.ageAtMdrRegistration</t>
  </si>
  <si>
    <t>Age at MDR Registration</t>
  </si>
  <si>
    <t>mdrtb.tb03.sldRegisterNumber</t>
  </si>
  <si>
    <t>Registration Number in Second Line Register</t>
  </si>
  <si>
    <t>mdrtb.tb03.mdrStatus</t>
  </si>
  <si>
    <t>MDR-TB Status</t>
  </si>
  <si>
    <t>mdrtb.tb03.confirmationDate</t>
  </si>
  <si>
    <t>Confirmation Date</t>
  </si>
  <si>
    <t>mdrtb.tb03.patientCategory</t>
  </si>
  <si>
    <t>Regimen Type</t>
  </si>
  <si>
    <t>mdrtb.tb03.mdrTreatmentStartDate</t>
  </si>
  <si>
    <t>MDR Treatment Start Date</t>
  </si>
  <si>
    <t>mdrtb.tb03.xdrTreatmentStartDate</t>
  </si>
  <si>
    <t>XDR Treatment Start Date</t>
  </si>
  <si>
    <t>mdrtb.tb03.txLocation</t>
  </si>
  <si>
    <t>Treatment Location</t>
  </si>
  <si>
    <t>mdrtb.tb03.basisForDiagnosis</t>
  </si>
  <si>
    <t>Basis for Diagnosis</t>
  </si>
  <si>
    <t>mdrtb.tb03.hivTestDate</t>
  </si>
  <si>
    <t>HIV Test Date</t>
  </si>
  <si>
    <t>mdrtb.tb03.pctStartDate</t>
  </si>
  <si>
    <t>mdrtb.tb03.relapsed</t>
  </si>
  <si>
    <t>Relapsed</t>
  </si>
  <si>
    <t>mdrtb.tb03.relapseMonth</t>
  </si>
  <si>
    <t>Relapse Month</t>
  </si>
  <si>
    <t>mdrtb.tb03.clinicalNotes</t>
  </si>
  <si>
    <t>Clinical Notes</t>
  </si>
  <si>
    <t>mdrtb.tb03.otherCauseOfDeath</t>
  </si>
  <si>
    <t>Other Cause of Death</t>
  </si>
  <si>
    <t>mdrtb.tb03uForm</t>
  </si>
  <si>
    <t>TB03u Form</t>
  </si>
  <si>
    <t>mdrtb.tb03uXDRForm</t>
  </si>
  <si>
    <t>TB03u-XDR Form</t>
  </si>
  <si>
    <t>mdrtb.dq.title</t>
  </si>
  <si>
    <t>MDRTB Data Quality Report</t>
  </si>
  <si>
    <t>mdrtb.dq.missingtb03</t>
  </si>
  <si>
    <t>Missing TB03</t>
  </si>
  <si>
    <t>mdrtb.dq.missingtb03u</t>
  </si>
  <si>
    <t>Missing TB03u</t>
  </si>
  <si>
    <t>mdrtb.dq.missingForm89</t>
  </si>
  <si>
    <t>Missing Form89</t>
  </si>
  <si>
    <t>mdrtb.dq.invalidForm89</t>
  </si>
  <si>
    <t>Patient not new but has form89</t>
  </si>
  <si>
    <t>mdrtb.dq.missingAge</t>
  </si>
  <si>
    <t>Missing Age at Registration</t>
  </si>
  <si>
    <t>mdrtb.dq.missingPatientGroup</t>
  </si>
  <si>
    <t>Missing Registration Group</t>
  </si>
  <si>
    <t>mdrtb.dq.missingDST</t>
  </si>
  <si>
    <t>Missing DST</t>
  </si>
  <si>
    <t>mdrtb.dq.notStartedTreatment</t>
  </si>
  <si>
    <t>Registered but no Treatment Start Date</t>
  </si>
  <si>
    <t>mdrtb.dq.missingOutcomes</t>
  </si>
  <si>
    <t>Missing Treatment Outcome after 24 months of Treatment</t>
  </si>
  <si>
    <t>mdrtb.dq.noAddress</t>
  </si>
  <si>
    <t>Missing Residential Address</t>
  </si>
  <si>
    <t>mdrtb.dq.noMDRId</t>
  </si>
  <si>
    <t>Missing MDR Registration Number</t>
  </si>
  <si>
    <t>mdrtb.dq.noSite</t>
  </si>
  <si>
    <t>Missing Site of Disease</t>
  </si>
  <si>
    <t>mdrtb.dq.patient</t>
  </si>
  <si>
    <t>mdrtb.dq.fullName</t>
  </si>
  <si>
    <t>mdrtb.dq.registrationNumber</t>
  </si>
  <si>
    <t>mdrtb.dq.dob</t>
  </si>
  <si>
    <t>mdrtb.dq.gender</t>
  </si>
  <si>
    <t>mdrtb.dq.numberOfPatients</t>
  </si>
  <si>
    <t>Total Number of Patients</t>
  </si>
  <si>
    <t>mdrtb.dq.numberWithErrors</t>
  </si>
  <si>
    <t>Total Number of Patients With Errors</t>
  </si>
  <si>
    <t>mdrtb.dq.errorPercentage</t>
  </si>
  <si>
    <t>Error Percentage</t>
  </si>
  <si>
    <t>mdrtb.dq.noTransferOut</t>
  </si>
  <si>
    <t>Transfer In Filled but no Transfer Out</t>
  </si>
  <si>
    <t>mdrtb.dq.noTransferIn</t>
  </si>
  <si>
    <t>Transfer Out Filled but no Transfer In</t>
  </si>
  <si>
    <t>mdrtb.disclaimerusaid</t>
  </si>
  <si>
    <t>This TB E-register module (on OpenMRS platform) is made possible by the support of the American people through the United States Agency for International Development (USAID). The contents are the sole responsibility of Project HOPE and do not necessarily reflect the views of USAID or the United States Government.</t>
  </si>
  <si>
    <t>mdrtb.enrollment.mdrtbPrograms</t>
  </si>
  <si>
    <t>MDR-TB Programs</t>
  </si>
  <si>
    <t>mdrtb.enrollment.tbPrograms</t>
  </si>
  <si>
    <t>TB Programs</t>
  </si>
  <si>
    <t>mdrtb.form89</t>
  </si>
  <si>
    <t>Form 89</t>
  </si>
  <si>
    <t>mdrtb.diagnosticXpert</t>
  </si>
  <si>
    <t>Diagnostic GeneXpert</t>
  </si>
  <si>
    <t>mdrtb.mostRecentXpert</t>
  </si>
  <si>
    <t>Most Recent GeneXpert</t>
  </si>
  <si>
    <t>mdrtb.noXpertResults</t>
  </si>
  <si>
    <t>No GeneXpert results for this patient</t>
  </si>
  <si>
    <t>mdrtb.xpertFormatter</t>
  </si>
  <si>
    <t>{0}/{1} on {2}, tested at {3}</t>
  </si>
  <si>
    <t>mdrtb.diagnosticHAIN</t>
  </si>
  <si>
    <t>Diagnostic HAIN1</t>
  </si>
  <si>
    <t>mdrtb.mostRecentHAIN</t>
  </si>
  <si>
    <t>Most Recent HAIN1</t>
  </si>
  <si>
    <t>mdrtb.noHAINResults</t>
  </si>
  <si>
    <t>No HAIN1 results for this patient</t>
  </si>
  <si>
    <t>mdrtb.hainFormatter</t>
  </si>
  <si>
    <t>{0}/{1}/{2} on {3}, tested at {4}</t>
  </si>
  <si>
    <t>mdrtb.diagnosticHAIN2</t>
  </si>
  <si>
    <t>Diagnostic HAIN2</t>
  </si>
  <si>
    <t>mdrtb.mostRecentHAIN2</t>
  </si>
  <si>
    <t>Most Recent HAIN2</t>
  </si>
  <si>
    <t>mdrtb.noHAIN2Results</t>
  </si>
  <si>
    <t>No HAIN2 results for this patient</t>
  </si>
  <si>
    <t>mdrtb.hain2Formatter</t>
  </si>
  <si>
    <t>mdrtb.monthOfTreatment</t>
  </si>
  <si>
    <t>Treatment Month</t>
  </si>
  <si>
    <t>mdrtb.specimenId</t>
  </si>
  <si>
    <t>Specimen Id</t>
  </si>
  <si>
    <t>mdrtb.smearResult</t>
  </si>
  <si>
    <t>mdrtb.dateOfSampleCollection</t>
  </si>
  <si>
    <t>Date of Sample Collection</t>
  </si>
  <si>
    <t>mdrtb.mtbResult</t>
  </si>
  <si>
    <t>MTB Result</t>
  </si>
  <si>
    <t>mdrtb.unlockClosedReportMessage</t>
  </si>
  <si>
    <t>Do you really want to UNLOCK this report?</t>
  </si>
  <si>
    <t>mdrtb.closeReportMessage</t>
  </si>
  <si>
    <t>Do you really want to CLOSE this report?</t>
  </si>
  <si>
    <t>mdrtb.viewClosedReports</t>
  </si>
  <si>
    <t>View Closed Reports</t>
  </si>
  <si>
    <t>mdrtb.viewClosedReports.oblast</t>
  </si>
  <si>
    <t>mdrtb.viewClosedReports.district</t>
  </si>
  <si>
    <t>mdrtb.viewClosedReports.facility</t>
  </si>
  <si>
    <t>mdrtb.viewClosedReports.year</t>
  </si>
  <si>
    <t>mdrtb.viewClosedReports.quarter</t>
  </si>
  <si>
    <t>mdrtb.viewClosedReports.month</t>
  </si>
  <si>
    <t>mdrtb.viewClosedReports.reportName</t>
  </si>
  <si>
    <t>Report Name</t>
  </si>
  <si>
    <t>mdrtb.viewClosedReports.reportDate</t>
  </si>
  <si>
    <t>Report Date</t>
  </si>
  <si>
    <t>mdrtb.viewClosedReports.viewBtn</t>
  </si>
  <si>
    <t>mdrtb.viewClosedReports.unlockBtn</t>
  </si>
  <si>
    <t>Unlock</t>
  </si>
  <si>
    <t>mdrtb.exportToExcelBtn</t>
  </si>
  <si>
    <t>Export To Excel</t>
  </si>
  <si>
    <t>mdrtb.exportToPdfBtn</t>
  </si>
  <si>
    <t>Export To Pdf</t>
  </si>
  <si>
    <t>mdrtb.closeReportBtn</t>
  </si>
  <si>
    <t>Close Report</t>
  </si>
  <si>
    <t>mdrtb.mergePatients</t>
  </si>
  <si>
    <t>Merge Patients</t>
  </si>
  <si>
    <t>mdrtb.form89.registrationDate</t>
  </si>
  <si>
    <t>Date of TB03 Registration</t>
  </si>
  <si>
    <t>mdrtb.form89.ageAtRegistration</t>
  </si>
  <si>
    <t>mdrtb.form89.locationType</t>
  </si>
  <si>
    <t>Dweller</t>
  </si>
  <si>
    <t>mdrtb.form89.profession</t>
  </si>
  <si>
    <t>Communal and Professional Affiliation</t>
  </si>
  <si>
    <t>mdrtb.form89.populationCategory</t>
  </si>
  <si>
    <t>Category of population</t>
  </si>
  <si>
    <t>mdrtb.form89.placeOfDetection</t>
  </si>
  <si>
    <t>Detected in</t>
  </si>
  <si>
    <t>mdrtb.form89.dateFirstSeekingHelp</t>
  </si>
  <si>
    <t>Date of First Encounter</t>
  </si>
  <si>
    <t>mdrtb.form89.circumstancesOfDetection</t>
  </si>
  <si>
    <t>Facts of the case detection&lt;br&gt;(way of detection)</t>
  </si>
  <si>
    <t>mdrtb.form89.methodOfDetection</t>
  </si>
  <si>
    <t>Method of detection</t>
  </si>
  <si>
    <t>mdrtb.form89.epSite</t>
  </si>
  <si>
    <t>If extrapulmonary</t>
  </si>
  <si>
    <t>mdrtb.form89.pSite</t>
  </si>
  <si>
    <t>Clinical Diagnosis</t>
  </si>
  <si>
    <t>mdrtb.form89.epLocation</t>
  </si>
  <si>
    <t>mdrtb.form89.presenceOfDecay</t>
  </si>
  <si>
    <t>Occurence of necrosis</t>
  </si>
  <si>
    <t>mdrtb.form89.dateOfDecaySurvey</t>
  </si>
  <si>
    <t>Date of investigation</t>
  </si>
  <si>
    <t>mdrtb.form89.comorbidities</t>
  </si>
  <si>
    <t>Comorbidities</t>
  </si>
  <si>
    <t>mdrtb.form89.diabetes</t>
  </si>
  <si>
    <t>Diabetes</t>
  </si>
  <si>
    <t>mdrtb.form89.cnsdl</t>
  </si>
  <si>
    <t>COPD</t>
  </si>
  <si>
    <t>mdrtb.form89.htHeartDisease</t>
  </si>
  <si>
    <t>Hypertension or Heart Disease</t>
  </si>
  <si>
    <t>mdrtb.form89.ulcer</t>
  </si>
  <si>
    <t>Ulcer</t>
  </si>
  <si>
    <t>mdrtb.form89.mentalDisorder</t>
  </si>
  <si>
    <t>Mental Disorder</t>
  </si>
  <si>
    <t>mdrtb.form89.ibc20</t>
  </si>
  <si>
    <t>ICD В20.9</t>
  </si>
  <si>
    <t>mdrtb.form89.cancer</t>
  </si>
  <si>
    <t>Cancer</t>
  </si>
  <si>
    <t>mdrtb.form89.noDisease</t>
  </si>
  <si>
    <t>mdrtb.form89.otherDisease</t>
  </si>
  <si>
    <t>mdrtb.form89.hepatitis</t>
  </si>
  <si>
    <t>Hepatitis</t>
  </si>
  <si>
    <t>mdrtb.form89.kidneyDisease</t>
  </si>
  <si>
    <t>Kidney Disease</t>
  </si>
  <si>
    <t>mdrtb.form89.cmacDate</t>
  </si>
  <si>
    <t>Date of confirmation of diagnosis by&lt;br&gt;CMCB (Central Medical Consultative Board)</t>
  </si>
  <si>
    <t>mdrtb.form89.cmacNumber</t>
  </si>
  <si>
    <t>CMCB Number</t>
  </si>
  <si>
    <t>mdrtb.form89.prescribedTreatment</t>
  </si>
  <si>
    <t>Prescribed treatment regimen</t>
  </si>
  <si>
    <t>mdrtb.form89.form89Date</t>
  </si>
  <si>
    <t>Form89 Date</t>
  </si>
  <si>
    <t>mdrtb.form89.complication</t>
  </si>
  <si>
    <t>Complication</t>
  </si>
  <si>
    <t>mdrtb.unassigned</t>
  </si>
  <si>
    <t>Not Assigned</t>
  </si>
  <si>
    <t>mdrtb.relapsed</t>
  </si>
  <si>
    <t>Relapse</t>
  </si>
  <si>
    <t>mdrtb.retreatment</t>
  </si>
  <si>
    <t>Retreatment</t>
  </si>
  <si>
    <t>mdrtb.transferIn</t>
  </si>
  <si>
    <t>mdrtb.generate</t>
  </si>
  <si>
    <t>Generate</t>
  </si>
  <si>
    <t>mdrtb.list</t>
  </si>
  <si>
    <t>mdrtb.dotsCasesByRegistrationGroup</t>
  </si>
  <si>
    <t>Cases by Registration Group</t>
  </si>
  <si>
    <t>mdrtb.dotsCasesByAnatomicalSite</t>
  </si>
  <si>
    <t>Cases by Site of TB</t>
  </si>
  <si>
    <t>dotsPulmonaryCasesByRegisrationGroupAndBacStatus</t>
  </si>
  <si>
    <t>Pulmonary Cases by Registration Group and Bacteriology Status</t>
  </si>
  <si>
    <t>mdrtb.mdrXdrPatients</t>
  </si>
  <si>
    <t>Patients with MDR or XDR TB</t>
  </si>
  <si>
    <t>mdrtb.mdrSuccessfulTreatmentOutcome</t>
  </si>
  <si>
    <t>MDR or XDR TB patients with Successful Treatment Outcome</t>
  </si>
  <si>
    <t>mdrtb.mdrXdrPatientsNoTreatment</t>
  </si>
  <si>
    <t>MDR or XDR TB patients Not Started on Treatment</t>
  </si>
  <si>
    <t>mdrtb.womenOfChildbearingAge</t>
  </si>
  <si>
    <t>Women of Childbearing Age (15-49)</t>
  </si>
  <si>
    <t>mdrtb.menOfConscriptAge</t>
  </si>
  <si>
    <t>Men of Conscription Age (18-27)</t>
  </si>
  <si>
    <t>detectedFromContact</t>
  </si>
  <si>
    <t>Patients detected through contact investigation</t>
  </si>
  <si>
    <t>mdrtb.withDiabetes</t>
  </si>
  <si>
    <t>Patients with Diabetes</t>
  </si>
  <si>
    <t>mdrtb.withCancer</t>
  </si>
  <si>
    <t>Patients with Cancer</t>
  </si>
  <si>
    <t>mdrtb.withUlcer</t>
  </si>
  <si>
    <t>Patients with Ulcers</t>
  </si>
  <si>
    <t>mdrtb.withHIV</t>
  </si>
  <si>
    <t>Patients with HIV</t>
  </si>
  <si>
    <t>mdrtb.withMentalDisorder</t>
  </si>
  <si>
    <t>Patients with Mental Disorder</t>
  </si>
  <si>
    <t>mdrtb.withHypertension</t>
  </si>
  <si>
    <t>Patients with Hypertension or Coronary Heart Disease</t>
  </si>
  <si>
    <t>mdrtb.withHepatitis</t>
  </si>
  <si>
    <t>Patients with Hepatitis</t>
  </si>
  <si>
    <t>mdrtb.withKidneyDisease</t>
  </si>
  <si>
    <t>Patients with Kidney Disease</t>
  </si>
  <si>
    <t>mdrtb.withCOPD</t>
  </si>
  <si>
    <t>Patients with COPD</t>
  </si>
  <si>
    <t>mdrtb.withOtherDisease</t>
  </si>
  <si>
    <t>Patients with Other Disease</t>
  </si>
  <si>
    <t>mdrtb.allCasesEnrolled</t>
  </si>
  <si>
    <t>All Cases Registered</t>
  </si>
  <si>
    <t>mdrtb.byDrugResistance</t>
  </si>
  <si>
    <t>Cases by Drug Resistance</t>
  </si>
  <si>
    <t>mdrtb.byDwelling</t>
  </si>
  <si>
    <t>Cases by Rural/Urban</t>
  </si>
  <si>
    <t>mdrtb.bySocProfStatus</t>
  </si>
  <si>
    <t>Cases by Social and Professional Status</t>
  </si>
  <si>
    <t>mdrtb.byPopCategory</t>
  </si>
  <si>
    <t>Cases by Population Category</t>
  </si>
  <si>
    <t>mdrtb.byPlaceOfDetection</t>
  </si>
  <si>
    <t>Cases by Place of Detection</t>
  </si>
  <si>
    <t>mdrtb.byCircumstancesOfDetection</t>
  </si>
  <si>
    <t>Cases by Circumstances of Detection</t>
  </si>
  <si>
    <t>mdrtb.byMethodOfDetection</t>
  </si>
  <si>
    <t>Cases by Method of Detection</t>
  </si>
  <si>
    <t>mdrtb.byPulmonaryLocation</t>
  </si>
  <si>
    <t>Cases by Localization of Pulmonary TB</t>
  </si>
  <si>
    <t>mdrtb.byExtraPulmonaryLocation</t>
  </si>
  <si>
    <t>Cases by Localization of ExtraPulmonary TB</t>
  </si>
  <si>
    <t>mdrtb.drTbPatients</t>
  </si>
  <si>
    <t>Patients with Drug Resistant TB</t>
  </si>
  <si>
    <t>mdrtb.tb03uRegistrationNumber</t>
  </si>
  <si>
    <t>TB03u Registration Number</t>
  </si>
  <si>
    <t>mdrtb.tb03uDate</t>
  </si>
  <si>
    <t>TB03u Date</t>
  </si>
  <si>
    <t>mdrtb.tb03u.changeOfRegimen</t>
  </si>
  <si>
    <t>Change of Regimen</t>
  </si>
  <si>
    <t>mdrtb.drTbPatientsNoTreatment</t>
  </si>
  <si>
    <t>DR TB Patients Not Started on Treatment</t>
  </si>
  <si>
    <t>mdrtb.drTbPatientsSuccessfulTreatment</t>
  </si>
  <si>
    <t>DR TB Patients with Successful Treatment Outcome</t>
  </si>
  <si>
    <t>mdrtb.enrollment.enrollInProgram</t>
  </si>
  <si>
    <t xml:space="preserve"> Enroll in Program</t>
  </si>
  <si>
    <t>mdrtb.form89.nameOfDoctor</t>
  </si>
  <si>
    <t>Name and First Name of Doctor</t>
  </si>
  <si>
    <t>mdrtb.tb03.nameOfIPFacility</t>
  </si>
  <si>
    <t>Name of IP Facility</t>
  </si>
  <si>
    <t>mdrtb.tb03.nameOfCPFacility</t>
  </si>
  <si>
    <t>Name of CP Facility</t>
  </si>
  <si>
    <t>mdrtb.print</t>
  </si>
  <si>
    <t>Print</t>
  </si>
  <si>
    <t>mdrtb.fqResult</t>
  </si>
  <si>
    <t>Fluoroquinolone (Ofx/Mfx) Resistance</t>
  </si>
  <si>
    <t>mdrtb.injResult</t>
  </si>
  <si>
    <t xml:space="preserve">Injectable (Am/Km/Cm/Vm) Resistance </t>
  </si>
  <si>
    <t>mdrtb.tb03.xrayDate</t>
  </si>
  <si>
    <t>Date of X-ray</t>
  </si>
  <si>
    <t>mdrtb.tb03.nameOfTreatmentLocation</t>
  </si>
  <si>
    <t>Name of Treatment Location</t>
  </si>
  <si>
    <t>mdrtb.moveToMDR</t>
  </si>
  <si>
    <t>mdrtb.hain1</t>
  </si>
  <si>
    <t>mdrtb.hain2</t>
  </si>
  <si>
    <t>HAIN2</t>
  </si>
  <si>
    <t>mdrtb.cultureResult</t>
  </si>
  <si>
    <t>mdrtb.editPatient</t>
  </si>
  <si>
    <t>Edit Patient</t>
  </si>
  <si>
    <t>mdrtb.form89.countryOfOrigin</t>
  </si>
  <si>
    <t>Country of Origin</t>
  </si>
  <si>
    <t>mdrtb.form89.cityOfOrigin</t>
  </si>
  <si>
    <t>City of Origin</t>
  </si>
  <si>
    <t>mdrtb.form89.dateOfReturn</t>
  </si>
  <si>
    <t>Date of Return</t>
  </si>
  <si>
    <t>mdrtb.form89.placeOfCommission</t>
  </si>
  <si>
    <t>Place of Central Commission</t>
  </si>
  <si>
    <t>mdrtb.form89.otherMethodOfDetection</t>
  </si>
  <si>
    <t>Other Method of Detection</t>
  </si>
  <si>
    <t>mdrtb.manageRegimens</t>
  </si>
  <si>
    <t>Manage Regimens</t>
  </si>
  <si>
    <t>mdrtb.tb03ExportSingleLine</t>
  </si>
  <si>
    <t>TB03 Export (Single Line)</t>
  </si>
  <si>
    <t>mdrtb.f89ExportSingleLine</t>
  </si>
  <si>
    <t>Form89 Export (Single Line)</t>
  </si>
  <si>
    <t>mdrtb.tb03uExportSingleLine</t>
  </si>
  <si>
    <t>TB03u Export (Single Line)</t>
  </si>
  <si>
    <t>mdrtb.resistant</t>
  </si>
  <si>
    <t>Resistant</t>
  </si>
  <si>
    <t>mdrtb.sensitive</t>
  </si>
  <si>
    <t>Sensitive</t>
  </si>
  <si>
    <t>mdrtb.positiveShort</t>
  </si>
  <si>
    <t>+</t>
  </si>
  <si>
    <t>mdrtb.negativeShort</t>
  </si>
  <si>
    <t>-</t>
  </si>
  <si>
    <t>mdrtb.resistantShort</t>
  </si>
  <si>
    <t>R</t>
  </si>
  <si>
    <t>mdrtb.sensitiveShort</t>
  </si>
  <si>
    <t>S</t>
  </si>
  <si>
    <t>mdrtb.indeterminateShort</t>
  </si>
  <si>
    <t xml:space="preserve">U </t>
  </si>
  <si>
    <t>mdrtb.error</t>
  </si>
  <si>
    <t>Error</t>
  </si>
  <si>
    <t>mdrtb.tb07.table1.footnote</t>
  </si>
  <si>
    <t>Of all new cases (bacteriological confirmed or clinically diagnosed), detected during the quarter: women of childbearing age (15-49) &lt;u&gt;{0}&lt;/u&gt; of which pregnant &lt;u&gt;{1}&lt;/u&gt;; contacts &lt;u&gt;{2}&lt;/u&gt;; migrants &lt;u&gt;{3}&lt;/u&gt;; employees of PHC  &lt;u&gt;{4}&lt;/u&gt;; employees of TB services &lt;u&gt;{5}&lt;/u&gt;.&lt;br/&gt;Died: Among the contingent registered: died &lt;u&gt;{6}&lt;/u&gt;, among them: children  &lt;u&gt;{7}&lt;/u&gt;, women of childbearing age (15-49) &lt;u&gt;{8}&lt;/u&gt;.</t>
  </si>
  <si>
    <t>mdrtb.dq.duplicateTB03</t>
  </si>
  <si>
    <t xml:space="preserve">Duplicate TB03 </t>
  </si>
  <si>
    <t>mdrtb.dq.duplicateForm89</t>
  </si>
  <si>
    <t>Duplicate Form89</t>
  </si>
  <si>
    <t>mdrtb.dq.links</t>
  </si>
  <si>
    <t xml:space="preserve"> Links</t>
  </si>
  <si>
    <t>mdrtb.linkToProgram</t>
  </si>
  <si>
    <t>Add To Program</t>
  </si>
  <si>
    <t>mdrtb.tb07.others</t>
  </si>
  <si>
    <t>Others</t>
  </si>
  <si>
    <t>mdrtb.addTB03-XDR</t>
  </si>
  <si>
    <t>Add TB03-XDR</t>
  </si>
  <si>
    <t>mdrtb.serialNumber</t>
  </si>
  <si>
    <t>#</t>
  </si>
  <si>
    <t>mdrtb.numberOfRecords</t>
  </si>
  <si>
    <t>Number of Records</t>
  </si>
  <si>
    <t>mdrtb.lists.new</t>
  </si>
  <si>
    <t>New Cases</t>
  </si>
  <si>
    <t>mdrtb.lists.relapses</t>
  </si>
  <si>
    <t>Relapses</t>
  </si>
  <si>
    <t>mdrtb.lists.retreatment</t>
  </si>
  <si>
    <t>Retreatment Cases</t>
  </si>
  <si>
    <t>mdrtb.lists.transferIn</t>
  </si>
  <si>
    <t>mdrtb.lists.transferLocation</t>
  </si>
  <si>
    <t>Transfer From</t>
  </si>
  <si>
    <t>mdrtb.lists.dateOfTransfer</t>
  </si>
  <si>
    <t>Date of Transfer</t>
  </si>
  <si>
    <t>mdrtb.lists.localization</t>
  </si>
  <si>
    <t>Localization</t>
  </si>
  <si>
    <t>mdrtb.lists.drugNames</t>
  </si>
  <si>
    <t>Names of Drugs</t>
  </si>
  <si>
    <t>mdrtb.lists.newPulmonaryBacPositive</t>
  </si>
  <si>
    <t>New Pulmonary Bac Positive</t>
  </si>
  <si>
    <t>mdrtb.lists.newPulmonaryBacNegative</t>
  </si>
  <si>
    <t>New Pulmonary Bac Negative</t>
  </si>
  <si>
    <t>mdrtb.lists.relapsePulmonaryBacPositive</t>
  </si>
  <si>
    <t>Relapse Pulmonary Bac Positive</t>
  </si>
  <si>
    <t>mdrtb.lists.relapsePulmonaryBacNegative</t>
  </si>
  <si>
    <t>Relapse Pulmonary Bac Negative</t>
  </si>
  <si>
    <t>mdrtb.lists.retreatmentPulmonaryBacPositive</t>
  </si>
  <si>
    <t>Retreament Pulmonary Bac Positive</t>
  </si>
  <si>
    <t>mdrtb.lists.retreatmentPulmonaryBacNegative</t>
  </si>
  <si>
    <t>Retreatment Pulmonary Bac Negative</t>
  </si>
  <si>
    <t>mdrtb.lists.transferInPulmonaryBacPositive</t>
  </si>
  <si>
    <t>Transfer In Pulmonary Bac Positive</t>
  </si>
  <si>
    <t>mdrtb.lists.transferInPulmonaryBacNegative</t>
  </si>
  <si>
    <t>Transfer In Pulmonary Bac Negative</t>
  </si>
  <si>
    <t>mdrtb.lists.caseDefinition</t>
  </si>
  <si>
    <t>Case Definition</t>
  </si>
  <si>
    <t>mdrtb.lists.city</t>
  </si>
  <si>
    <t>Resident of City</t>
  </si>
  <si>
    <t>mdrtb.lists.village</t>
  </si>
  <si>
    <t>Resident of Village</t>
  </si>
  <si>
    <t>mdrtb.lists.microscopy</t>
  </si>
  <si>
    <t>Microscopy</t>
  </si>
  <si>
    <t>mdrtb.lists.drugResistance</t>
  </si>
  <si>
    <t>Drug Resistance</t>
  </si>
  <si>
    <t>mdrtb.lists.resistantTo</t>
  </si>
  <si>
    <t>Resistant To</t>
  </si>
  <si>
    <t>mdrtb.lists.sensitiveTo</t>
  </si>
  <si>
    <t>Sensitive To</t>
  </si>
  <si>
    <t>mdrtb.lists.outcome</t>
  </si>
  <si>
    <t>mdrtb.lists.endOfTreatmentDate</t>
  </si>
  <si>
    <t>Date of End of Treatment</t>
  </si>
  <si>
    <t>mdrtb.lists.reregisrationNumber</t>
  </si>
  <si>
    <t>Re-enrollment Number DOTS</t>
  </si>
  <si>
    <t>mdrtb.lists.injShort</t>
  </si>
  <si>
    <t>INJ</t>
  </si>
  <si>
    <t>mdrtb.lists.fqShort</t>
  </si>
  <si>
    <t>FQ</t>
  </si>
  <si>
    <t>mdrtb.withConcomitantDisease</t>
  </si>
  <si>
    <t>Patients with Concomitant Diseases</t>
  </si>
  <si>
    <t>mdrtb.lists.growth</t>
  </si>
  <si>
    <t>Growth</t>
  </si>
  <si>
    <t>mdrtb.lists.pulmonaryShort</t>
  </si>
  <si>
    <t>P</t>
  </si>
  <si>
    <t>mdrtb.lists.extrapulmonaryShort</t>
  </si>
  <si>
    <t>EP</t>
  </si>
  <si>
    <t>mdrtb.lists.inhShort</t>
  </si>
  <si>
    <t>H</t>
  </si>
  <si>
    <t>mdrtb.lists.rifShort</t>
  </si>
  <si>
    <t>mdrtb.lists.injectablesShort</t>
  </si>
  <si>
    <t>Am/Cm/Km/Vm</t>
  </si>
  <si>
    <t>mdrtb.lists.quinShort</t>
  </si>
  <si>
    <t>Ofx/Mfx</t>
  </si>
  <si>
    <t>mdrtb.lists.noTxReason</t>
  </si>
  <si>
    <t>Reason for not starting treatment</t>
  </si>
  <si>
    <t>mdrtb.tb03u.resistanceDuringTx</t>
  </si>
  <si>
    <t>Drug Resistance During Treatment</t>
  </si>
  <si>
    <t>mdrtb.drdt</t>
  </si>
  <si>
    <t>mdrtb.drdtForm</t>
  </si>
  <si>
    <t>Drug Resistance During Treatment Form</t>
  </si>
  <si>
    <t>mdrtb.addDrdt</t>
  </si>
  <si>
    <t>New Drug Resistance During Treatment Form</t>
  </si>
  <si>
    <t>mdrtb.emptyId</t>
  </si>
  <si>
    <t>Patient ID cannot be empty</t>
  </si>
  <si>
    <t>mdrtb.yearInIdInFuture</t>
  </si>
  <si>
    <t>The 3rd and 4th digits of the Patient ID cannot represent a future year</t>
  </si>
  <si>
    <t>mdrtb.yearInIdInMismatch</t>
  </si>
  <si>
    <t>The 3rd and 4th digits of the Patient ID must match the year of registration</t>
  </si>
  <si>
    <t>mdrtb.pv.regimenForm</t>
  </si>
  <si>
    <t>Regimen Form</t>
  </si>
  <si>
    <t>mdrtb.pv.cmacDate</t>
  </si>
  <si>
    <t>CMAC Date</t>
  </si>
  <si>
    <t>mdrtb.pv.fundingSource</t>
  </si>
  <si>
    <t>Source of Financing</t>
  </si>
  <si>
    <t>mdrtb.pv.projectHope</t>
  </si>
  <si>
    <t>Project HOPE</t>
  </si>
  <si>
    <t>mdrtb.pv.msf</t>
  </si>
  <si>
    <t>MSF</t>
  </si>
  <si>
    <t>mdrtb.pv.cmDose</t>
  </si>
  <si>
    <t>Cm 1 g</t>
  </si>
  <si>
    <t>mdrtb.pv.amDose</t>
  </si>
  <si>
    <t>Am 0.5 g</t>
  </si>
  <si>
    <t>mdrtb.pv.mfxDose</t>
  </si>
  <si>
    <t>Mfx 400 g</t>
  </si>
  <si>
    <t>mdrtb.pv.lfxDose</t>
  </si>
  <si>
    <t>Lfx 250 mg</t>
  </si>
  <si>
    <t>mdrtb.pv.ptoDose</t>
  </si>
  <si>
    <t>Pto 250 mg</t>
  </si>
  <si>
    <t>mdrtb.pv.csDose</t>
  </si>
  <si>
    <t>Cs 250 mg</t>
  </si>
  <si>
    <t>mdrtb.pv.pasDose</t>
  </si>
  <si>
    <t>PAS 4 g</t>
  </si>
  <si>
    <t>mdrtb.pv.zDose</t>
  </si>
  <si>
    <t>Z 400 mg</t>
  </si>
  <si>
    <t>mdrtb.pv.eDose</t>
  </si>
  <si>
    <t>E 400 mg</t>
  </si>
  <si>
    <t>mdrtb.pv.hDose</t>
  </si>
  <si>
    <t>H 300 mg</t>
  </si>
  <si>
    <t>mdrtb.pv.lzdDose</t>
  </si>
  <si>
    <t>Lzd 600 mg</t>
  </si>
  <si>
    <t>mdrtb.pv.cfzDose</t>
  </si>
  <si>
    <t>Cfz 100 mg</t>
  </si>
  <si>
    <t>mdrtb.pv.bdqDose</t>
  </si>
  <si>
    <t>Bdq 100 mg</t>
  </si>
  <si>
    <t>mdrtb.pv.dlmDose</t>
  </si>
  <si>
    <t>Dlm 50 mg</t>
  </si>
  <si>
    <t>mdrtb.pv.impDose</t>
  </si>
  <si>
    <t>Imp/cls 500/500 mg</t>
  </si>
  <si>
    <t>mdrtb.pv.amxDose</t>
  </si>
  <si>
    <t>Amx/Clv 875/125 mg</t>
  </si>
  <si>
    <t>mdrtb.pv.hrDose</t>
  </si>
  <si>
    <t>HR 75/150 tab</t>
  </si>
  <si>
    <t>mdrtb.pv.hrzeDose</t>
  </si>
  <si>
    <t>HRZE 75/150/400/275 tab</t>
  </si>
  <si>
    <t>mdrtb.pv.sDose</t>
  </si>
  <si>
    <t>S 1.0</t>
  </si>
  <si>
    <t>mdrtb.pv.other</t>
  </si>
  <si>
    <t>mdrtb.pv.otherDrug1Name</t>
  </si>
  <si>
    <t>Other Drug Name</t>
  </si>
  <si>
    <t>mdrtb.pv.otherDrug1Dose</t>
  </si>
  <si>
    <t>Other Drug Dose</t>
  </si>
  <si>
    <t>mdrtb.pv.otherDrug2Dose</t>
  </si>
  <si>
    <t>mdrtb.pv.sldRegimenType</t>
  </si>
  <si>
    <t>Type of SLD Regimen</t>
  </si>
  <si>
    <t>mdrtb.pv.otherRegimen</t>
  </si>
  <si>
    <t>Other regimen</t>
  </si>
  <si>
    <t>mdrtb.pv.serialNumber</t>
  </si>
  <si>
    <t>№</t>
  </si>
  <si>
    <t>mdrtb.pv.addRegimen</t>
  </si>
  <si>
    <t>Add New Regimen</t>
  </si>
  <si>
    <t>mdrtb.pv.nausea</t>
  </si>
  <si>
    <t>Nausea/vomiting</t>
  </si>
  <si>
    <t>mdrtb.pv.diarrhoea</t>
  </si>
  <si>
    <t xml:space="preserve"> Diarrhoea</t>
  </si>
  <si>
    <t>mdrtb.pv.arthalgia</t>
  </si>
  <si>
    <t xml:space="preserve"> Arthralgia</t>
  </si>
  <si>
    <t>mdrtb.pv.dizziness</t>
  </si>
  <si>
    <t>Dizziness/vertigo</t>
  </si>
  <si>
    <t>mdrtb.pv.hearingDisturbances</t>
  </si>
  <si>
    <t>Hearing disturbances</t>
  </si>
  <si>
    <t>mdrtb.pv.headaches</t>
  </si>
  <si>
    <t>Headache</t>
  </si>
  <si>
    <t>mdrtb.pv.sleepDisturbances</t>
  </si>
  <si>
    <t>Sleep disturbances</t>
  </si>
  <si>
    <t>mdrtb.pv.electrolyteDisturbances</t>
  </si>
  <si>
    <t>Electrolyte disturbances</t>
  </si>
  <si>
    <t>mdrtb.pv.abdominalPain</t>
  </si>
  <si>
    <t>Abdominal pain</t>
  </si>
  <si>
    <t>mdrtb.pv.anorexia</t>
  </si>
  <si>
    <t>Anorexia</t>
  </si>
  <si>
    <t>mdrtb.pv.gastritis</t>
  </si>
  <si>
    <t>Gastritis</t>
  </si>
  <si>
    <t>mdrtb.pv.peripheralNeuropathy</t>
  </si>
  <si>
    <t>Peripheral neuropathy</t>
  </si>
  <si>
    <t>mdrtb.pv.depression</t>
  </si>
  <si>
    <t>Depression</t>
  </si>
  <si>
    <t>mdrtb.pv.tinnitus</t>
  </si>
  <si>
    <t>Tinnitus</t>
  </si>
  <si>
    <t>mdrtb.pv.allergicReaction</t>
  </si>
  <si>
    <t>Allergic reaction</t>
  </si>
  <si>
    <t>mdrtb.pv.rash</t>
  </si>
  <si>
    <t>Rash</t>
  </si>
  <si>
    <t>mdrtb.pv.visualDisturbances</t>
  </si>
  <si>
    <t>Visual disturbances</t>
  </si>
  <si>
    <t>mdrtb.pv.seizures</t>
  </si>
  <si>
    <t>Seizures</t>
  </si>
  <si>
    <t>mdrtb.pv.hypothyroidism</t>
  </si>
  <si>
    <t>Hypothyroidism</t>
  </si>
  <si>
    <t>mdrtb.pv.psychosis</t>
  </si>
  <si>
    <t>Psychosis</t>
  </si>
  <si>
    <t>mdrtb.pv.suicidalIdeation</t>
  </si>
  <si>
    <t>Suicidal ideation</t>
  </si>
  <si>
    <t>mdrtb.pv.hepatitis</t>
  </si>
  <si>
    <t>Hepatitis (hepatotoxicity)</t>
  </si>
  <si>
    <t>mdrtb.pv.renalFailure</t>
  </si>
  <si>
    <t>Renal failure (nephrotoxicity)</t>
  </si>
  <si>
    <t>mdrtb.pv.qtProlongation</t>
  </si>
  <si>
    <t>QT prolongation</t>
  </si>
  <si>
    <t>mdrtb.pv.clinicalScreen</t>
  </si>
  <si>
    <t>Clinical screen</t>
  </si>
  <si>
    <t>mdrtb.pv.visualAcuity</t>
  </si>
  <si>
    <t>Visual acuity</t>
  </si>
  <si>
    <t>mdrtb.pv.hearingTest</t>
  </si>
  <si>
    <t>Simple hearing test</t>
  </si>
  <si>
    <t>mdrtb.pv.audiogram</t>
  </si>
  <si>
    <t>Audiogram</t>
  </si>
  <si>
    <t>mdrtb.pv.neuroInvestigations</t>
  </si>
  <si>
    <t>Neuro &amp; psychiatric investigations</t>
  </si>
  <si>
    <t>mdrtb.pv.serumCreatnine</t>
  </si>
  <si>
    <t>Serum creatinine</t>
  </si>
  <si>
    <t>mdrtb.pv.alt</t>
  </si>
  <si>
    <t>ALT (SGPT)</t>
  </si>
  <si>
    <t>mdrtb.pv.ast</t>
  </si>
  <si>
    <t>AST (SGOT)</t>
  </si>
  <si>
    <t>mdrtb.pv.bilirubin</t>
  </si>
  <si>
    <t>Bilirubin</t>
  </si>
  <si>
    <t>mdrtb.pv.alkalinePhosphatase</t>
  </si>
  <si>
    <t>Alkaline phosphatase</t>
  </si>
  <si>
    <t>mdrtb.pv.ygt</t>
  </si>
  <si>
    <t>γGT</t>
  </si>
  <si>
    <t>mdrtb.pv.ecg</t>
  </si>
  <si>
    <t>ECG</t>
  </si>
  <si>
    <t>mdrtb.pv.lipase</t>
  </si>
  <si>
    <t>Lipase</t>
  </si>
  <si>
    <t>mdrtb.pv.amylase</t>
  </si>
  <si>
    <t>Amylase</t>
  </si>
  <si>
    <t>mdrtb.pv.potassium</t>
  </si>
  <si>
    <t>Potassium</t>
  </si>
  <si>
    <t>mdrtb.pv.magnesium</t>
  </si>
  <si>
    <t>Magnesium</t>
  </si>
  <si>
    <t>mdrtb.pv.calcium</t>
  </si>
  <si>
    <t>Calcium</t>
  </si>
  <si>
    <t>mdrtb.pv.albumin</t>
  </si>
  <si>
    <t>Albumin</t>
  </si>
  <si>
    <t>mdrtb.pv.cbc</t>
  </si>
  <si>
    <t>Complete Blood Count</t>
  </si>
  <si>
    <t>mdrtb.pv.bloodGlucose</t>
  </si>
  <si>
    <t>Blood glucose</t>
  </si>
  <si>
    <t>mdrtb.pv.thyroidTest</t>
  </si>
  <si>
    <t>Thyroid test / TSH</t>
  </si>
  <si>
    <t>mdrtb.pv.skinDisorders</t>
  </si>
  <si>
    <t>Skin and appendages disorders</t>
  </si>
  <si>
    <t>mdrtb.pv.musculoskeletalDisorders</t>
  </si>
  <si>
    <t>Muskolskeletal disorders</t>
  </si>
  <si>
    <t>mdrtb.pv.neurologicalDisorders</t>
  </si>
  <si>
    <t>Neurological disorders</t>
  </si>
  <si>
    <t>mdrtb.pv.visionDisorders</t>
  </si>
  <si>
    <t>Vision disorders</t>
  </si>
  <si>
    <t>mdrtb.pv.hearingDisorders</t>
  </si>
  <si>
    <t>Hearing, vestibular and special senses disorders</t>
  </si>
  <si>
    <t>mdrtb.pv.psychiatricDisorders</t>
  </si>
  <si>
    <t>Psychiatric disorders</t>
  </si>
  <si>
    <t>mdrtb.pv.gastrointestinalDisorders</t>
  </si>
  <si>
    <t>Gastrointestinal disorders</t>
  </si>
  <si>
    <t>mdrtb.pv.liverDisorders</t>
  </si>
  <si>
    <t>Liver and biliary disorders</t>
  </si>
  <si>
    <t>mdrtb.pv.metabolicDisorders</t>
  </si>
  <si>
    <t>Metabolic and nutritional disorders</t>
  </si>
  <si>
    <t>mdrtb.pv.endocrineDisorders</t>
  </si>
  <si>
    <t>Endocrine disorders</t>
  </si>
  <si>
    <t>mdrtb.pv.cardiacDisorders</t>
  </si>
  <si>
    <t>Cardiac disorders</t>
  </si>
  <si>
    <t>mdrtb.pv.adverseEvent</t>
  </si>
  <si>
    <t>Adverse Event (Symptom)</t>
  </si>
  <si>
    <t>mdrtb.pv.onsetDate</t>
  </si>
  <si>
    <t>Adverse Event Onset Date</t>
  </si>
  <si>
    <t>mdrtb.pv.diagnosticInvestigation</t>
  </si>
  <si>
    <t>Result of lab test/ diagnostic investigation confirming AE</t>
  </si>
  <si>
    <t>mdrtb.pv.suspectedDrug</t>
  </si>
  <si>
    <t>Suspected drug(s) including all TB drugs &amp; any other drug</t>
  </si>
  <si>
    <t>mdrtb.pv.treatmentRegimenAtOnset</t>
  </si>
  <si>
    <t>Treatment regimen during the event  onset</t>
  </si>
  <si>
    <t>mdrtb.pv.typeOfEvent</t>
  </si>
  <si>
    <t>Type of Event</t>
  </si>
  <si>
    <t>mdrtb.pv.typeOfSAE</t>
  </si>
  <si>
    <t>SAE Type</t>
  </si>
  <si>
    <t>mdrtb.pv.typeOfSpecialEvent</t>
  </si>
  <si>
    <t>Type of Special Interest Event</t>
  </si>
  <si>
    <t>mdrtb.pv.requiresAncillaryDrugs</t>
  </si>
  <si>
    <t>AE requiring ancillary drugs</t>
  </si>
  <si>
    <t>mdrtb.pv.requiresDoseChange</t>
  </si>
  <si>
    <t>AE requiring changes in drug dosage, treatment  regimen, or substitution of drug</t>
  </si>
  <si>
    <t>mdrtb.pv.yellowCardDate</t>
  </si>
  <si>
    <t>Date of Yellow Card Submission</t>
  </si>
  <si>
    <t>mdrtb.pv.causalityAssessmentResult1</t>
  </si>
  <si>
    <t>Causality Assessment Result 1</t>
  </si>
  <si>
    <t>mdrtb.pv.causalityAssessmentResult2</t>
  </si>
  <si>
    <t>Causality Assessment Result 2</t>
  </si>
  <si>
    <t>mdrtb.pv.causalityAssessmentResult3</t>
  </si>
  <si>
    <t>Causality Assessment Result 3</t>
  </si>
  <si>
    <t>mdrtb.pv.causalityDrug1</t>
  </si>
  <si>
    <t>Drug 1</t>
  </si>
  <si>
    <t>mdrtb.pv.causalityDrug2</t>
  </si>
  <si>
    <t>Drug 2</t>
  </si>
  <si>
    <t>mdrtb.pv.causalityDrug3</t>
  </si>
  <si>
    <t>Drug 3</t>
  </si>
  <si>
    <t>mdrtb.pv.actionTaken</t>
  </si>
  <si>
    <t>Action Taken in Response to the Event</t>
  </si>
  <si>
    <t>mdrtb.pv.actionOutcome</t>
  </si>
  <si>
    <t>Outcome of the Action Taken in Response to the Event</t>
  </si>
  <si>
    <t>mdrtb.pv.outcomeDate</t>
  </si>
  <si>
    <t>Date of Outcome</t>
  </si>
  <si>
    <t>mdrtb.pv.eventOnsetLocation</t>
  </si>
  <si>
    <t>Event Onset Place (Facility)</t>
  </si>
  <si>
    <t>mdrtb.pv.meddraCode</t>
  </si>
  <si>
    <t>MedDRA Code</t>
  </si>
  <si>
    <t>mdrtb.pv.drugRechallenge</t>
  </si>
  <si>
    <t>Drug Rechallenge</t>
  </si>
  <si>
    <t>mdrtb.pv.comments</t>
  </si>
  <si>
    <t>mdrtb.pv.aeForm</t>
  </si>
  <si>
    <t>AE Form</t>
  </si>
  <si>
    <t>mdrtb.pv.addAE</t>
  </si>
  <si>
    <t>Add New AE</t>
  </si>
  <si>
    <t>mdrtb.pv.missingOnsetDate</t>
  </si>
  <si>
    <t xml:space="preserve"> Please enter an onset date</t>
  </si>
  <si>
    <t>mdrtb.pv.missingAdverseEvent</t>
  </si>
  <si>
    <t>Please enter the AE/Symptom</t>
  </si>
  <si>
    <t>mdrtb.pv.onsetDateInFuture</t>
  </si>
  <si>
    <t>Onset date cannot be in future</t>
  </si>
  <si>
    <t>mdrtb.pv.missingDiagnosticInvestigation</t>
  </si>
  <si>
    <t>Please enter the Diagnostic Investigation</t>
  </si>
  <si>
    <t>mdrtb.pv.missingSuspectedDrug</t>
  </si>
  <si>
    <t>Please enter the Suspected Drug</t>
  </si>
  <si>
    <t>mdrtb.pv.missingTypeOfEvent</t>
  </si>
  <si>
    <t>Please enter the Type of Event</t>
  </si>
  <si>
    <t>mdrtb.pv.yellowCardDateBeforeOnsetDate</t>
  </si>
  <si>
    <t>Yellow Card Submission Date cannot be before Onset Date</t>
  </si>
  <si>
    <t>mdrtb.pv.missingCAR1</t>
  </si>
  <si>
    <t>Please enter the Causality Assessment Result for Drug 1</t>
  </si>
  <si>
    <t>mdrtb.pv.missingCAR2</t>
  </si>
  <si>
    <t>Please enter the Causality Assessment Result for Drug 2</t>
  </si>
  <si>
    <t>mdrtb.pv.missingCAR3</t>
  </si>
  <si>
    <t>Please enter the Causality Assessment Result for Drug 3</t>
  </si>
  <si>
    <t>mdrtb.pv.missingActionTaken</t>
  </si>
  <si>
    <t>Please enter the Action Taken</t>
  </si>
  <si>
    <t>mdrtb.pv.missingOutcome</t>
  </si>
  <si>
    <t>Please enter the Outcome</t>
  </si>
  <si>
    <t>mdrtb.pv.missingOutcomeDate</t>
  </si>
  <si>
    <t>Please enter the Outcome date</t>
  </si>
  <si>
    <t>mdrtb.pv.outcomeDateBeforeOnsetDate</t>
  </si>
  <si>
    <t>Outcome Date cannot be before Onset Date</t>
  </si>
  <si>
    <t>mdrtb.pv.missingMeddraCode</t>
  </si>
  <si>
    <t>Please enter the MedDRA Code</t>
  </si>
  <si>
    <t>mdrtb.pv.missingSAEType</t>
  </si>
  <si>
    <t>Please enter the Type of SAE</t>
  </si>
  <si>
    <t>mdrtb.pv.missingSpecialEventType</t>
  </si>
  <si>
    <t>Please enter the Type of Event of Special Interest</t>
  </si>
  <si>
    <t>mdrtb.pv.pv</t>
  </si>
  <si>
    <t>Pharmacovigilance</t>
  </si>
  <si>
    <t>mdrtb.pv.manageAE</t>
  </si>
  <si>
    <t>Manage AE's</t>
  </si>
  <si>
    <t>mdrtb.pv.qtrReportTitle</t>
  </si>
  <si>
    <t>Quarterly summary report on AEs</t>
  </si>
  <si>
    <t>mdrtb.pv.year</t>
  </si>
  <si>
    <t>mdrtb.pv.quarter</t>
  </si>
  <si>
    <t>mdrtb.pv.table1.title</t>
  </si>
  <si>
    <t>Table 1. Number of patients with drug resistant TB on treatment by regimen</t>
  </si>
  <si>
    <t>mdrtb.pv.regimen</t>
  </si>
  <si>
    <t>mdrtb.pv.regimens</t>
  </si>
  <si>
    <t>Regimens</t>
  </si>
  <si>
    <t>mdrtb.pv.table1.startingThisQuarter</t>
  </si>
  <si>
    <t>Number of patients starting this&lt;br/&gt;regimen this quarter&lt;br/&gt;(for cohort approach)</t>
  </si>
  <si>
    <t>mdrtb.pv.table1.onRegimen</t>
  </si>
  <si>
    <t>Number of patients using this&lt;br/&gt;regimen at any time in this&lt;br/&gt;quarter</t>
  </si>
  <si>
    <t>mdrtb.pv.standardRegimen</t>
  </si>
  <si>
    <t>Standard MDR TB Regimen</t>
  </si>
  <si>
    <t>mdrtb.pv.shortRegimen</t>
  </si>
  <si>
    <t xml:space="preserve">Short Regimen </t>
  </si>
  <si>
    <t>mdrtb.pv.regimenWithBdq</t>
  </si>
  <si>
    <t>Regimen containing Bedaquiline</t>
  </si>
  <si>
    <t>mdrtb.pv.regimenWithDlm</t>
  </si>
  <si>
    <t xml:space="preserve"> Regimen containing Delamanind</t>
  </si>
  <si>
    <t>mdrtb.pv.regimenWithBdqAndDlm</t>
  </si>
  <si>
    <t>Regimen containing Bedaquiline and Delamanid</t>
  </si>
  <si>
    <t>mdrtb.pv.regimenWithCfzLzd</t>
  </si>
  <si>
    <t xml:space="preserve"> Regimen containing Clofazimin and/or Linezolid, but without new TB drugs</t>
  </si>
  <si>
    <t>mdrtb.pv.table1.otherRegimenSpecify</t>
  </si>
  <si>
    <t>Other, specify</t>
  </si>
  <si>
    <t>mdrtb.pv.total</t>
  </si>
  <si>
    <t>Total</t>
  </si>
  <si>
    <t>mdrtb.pv.reportDate</t>
  </si>
  <si>
    <t>Date of Report</t>
  </si>
  <si>
    <t>mdrtb.pv.table2.title</t>
  </si>
  <si>
    <t>Table 2. SAEs and AEs of special interest by regimen</t>
  </si>
  <si>
    <t>mdrtb.pv.report.saes</t>
  </si>
  <si>
    <t>1. SAE's</t>
  </si>
  <si>
    <t>mdrtb.pv.report.death</t>
  </si>
  <si>
    <t>1.1 Death</t>
  </si>
  <si>
    <t>mdrtb.pv.report.hospitalization</t>
  </si>
  <si>
    <t>1.2 Hospitalization/ extension</t>
  </si>
  <si>
    <t>mdrtb.pv.report.disability</t>
  </si>
  <si>
    <t>1.3 Disability</t>
  </si>
  <si>
    <t>mdrtb.pv.report.congenitalAbnormality</t>
  </si>
  <si>
    <t>1.4 Congenital anomaly</t>
  </si>
  <si>
    <t>mdrtb.pv.report.lifeThreateningExperience</t>
  </si>
  <si>
    <t>1.5 Life threatening experience</t>
  </si>
  <si>
    <t>mdrtb.pv.report.specialInterest</t>
  </si>
  <si>
    <t>2. AEs of special interest</t>
  </si>
  <si>
    <t>mdrtb.pv.report.peripheralNeuropathy</t>
  </si>
  <si>
    <t>2.1 Peripheral neuropathy (paraesthesia)</t>
  </si>
  <si>
    <t>mdrtb.pv.report.psychiatricDisorders</t>
  </si>
  <si>
    <t xml:space="preserve">2.2 Psychiatric disorders and central nervous system toxicity (e.g. depression, psychosis, suicidal intention, seizures) </t>
  </si>
  <si>
    <t>mdrtb.pv.report.opticNerveDisorders</t>
  </si>
  <si>
    <t xml:space="preserve">2.3 Optic nerve disorder (optic neuritis) or retinopathy, </t>
  </si>
  <si>
    <t>mdrtb.pv.report.ototoxicity</t>
  </si>
  <si>
    <t xml:space="preserve">2.4 Ototoxicity (hearing impairment, hearing loss). </t>
  </si>
  <si>
    <t>mdrtb.pv.report.myelosuppression</t>
  </si>
  <si>
    <t xml:space="preserve">2.5 Myelosuppression (manifested as anaemia, thrombocytopenia, neutropenia or leukopenia),  </t>
  </si>
  <si>
    <t>mdrtb.pv.report.qtProlongation</t>
  </si>
  <si>
    <t xml:space="preserve">2.6 Prolonged QT interval (Fridericia correction) </t>
  </si>
  <si>
    <t>mdrtb.pv.report.lacticAcidosis</t>
  </si>
  <si>
    <t xml:space="preserve">2.7 Lactic acidosis  </t>
  </si>
  <si>
    <t>mdrtb.pv.report.hepatitis</t>
  </si>
  <si>
    <t xml:space="preserve">2.8 Hepatitis (defined as increases in ALT or AST ≥5x the ULN, or increases in ALT or AST ≥3x ULN with clinical manifestations, or increases in ALT or AST ≥3x ULN with concomitant increase in bilirubin ≥1.5 x ULN) </t>
  </si>
  <si>
    <t>mdrtb.pv.report.hypothyroidism</t>
  </si>
  <si>
    <t xml:space="preserve">2.9 Hypothyroidism </t>
  </si>
  <si>
    <t>mdrtb.pv.report.hypokalemia</t>
  </si>
  <si>
    <t xml:space="preserve">2.10 Hypokalaemia </t>
  </si>
  <si>
    <t>mdrtb.pv.report.pancreatitis</t>
  </si>
  <si>
    <t xml:space="preserve">2.11 Pancreatitis </t>
  </si>
  <si>
    <t>mdrtb.pv.report.phospholipidosis</t>
  </si>
  <si>
    <t xml:space="preserve">2.12 Phospholipidosis  </t>
  </si>
  <si>
    <t>mdrtb.pv.report.renalFailure</t>
  </si>
  <si>
    <t>2.13 Acute kidney injury (acute renal failure)</t>
  </si>
  <si>
    <t>mdrtb.pv.table3.title</t>
  </si>
  <si>
    <t>Table 3. SAEs and AEs of special interest by possible causing drug</t>
  </si>
  <si>
    <t>mdrtb.pv.bdq</t>
  </si>
  <si>
    <t>Bdq</t>
  </si>
  <si>
    <t>mdrtb.pv.dlm</t>
  </si>
  <si>
    <t>Dlm</t>
  </si>
  <si>
    <t>mdrtb.pv.cfz</t>
  </si>
  <si>
    <t>Cfz</t>
  </si>
  <si>
    <t>mdrtb.pv.lzd</t>
  </si>
  <si>
    <t>Lzd</t>
  </si>
  <si>
    <t>mdrtb.pv.am</t>
  </si>
  <si>
    <t>Am</t>
  </si>
  <si>
    <t>mdrtb.pv.cm</t>
  </si>
  <si>
    <t>Cm</t>
  </si>
  <si>
    <t>mdrtb.pv.mfx</t>
  </si>
  <si>
    <t>Mfx</t>
  </si>
  <si>
    <t>mdrtb.pv.lfx</t>
  </si>
  <si>
    <t>Lfx</t>
  </si>
  <si>
    <t>mdrtb.pv.cyc</t>
  </si>
  <si>
    <t>Cs</t>
  </si>
  <si>
    <t>mdrtb.pv.pas</t>
  </si>
  <si>
    <t>PAS</t>
  </si>
  <si>
    <t>mdrtb.pv.pto</t>
  </si>
  <si>
    <t>Pto</t>
  </si>
  <si>
    <t>mdrtb.pv.z</t>
  </si>
  <si>
    <t>Z</t>
  </si>
  <si>
    <t>mdrtb.pv.e</t>
  </si>
  <si>
    <t>E</t>
  </si>
  <si>
    <t>mdrtb.pv.table4.title</t>
  </si>
  <si>
    <t>Table 4. List of AEs needing ancillary drugs</t>
  </si>
  <si>
    <t>mdrtb.pv.table4.ae</t>
  </si>
  <si>
    <t>Adverse Event (24)</t>
  </si>
  <si>
    <t>mdrtb.pv.table4.numberOfPatients</t>
  </si>
  <si>
    <t>Number of Patients</t>
  </si>
  <si>
    <t>mdrtb.pv.table5.title</t>
  </si>
  <si>
    <t xml:space="preserve">Table 5. WHO Cohort Event Monitoring (CEM) indicators reported quarterly </t>
  </si>
  <si>
    <t>mdrtb.pv.register.patientId</t>
  </si>
  <si>
    <t>Patient Id</t>
  </si>
  <si>
    <t>mdrtb.pv.register.patientName</t>
  </si>
  <si>
    <t>Patient&lt;br/&gt;Name</t>
  </si>
  <si>
    <t>mdrtb.pv.register.patientBirthdate</t>
  </si>
  <si>
    <t>mdrtb.pv.register.onsetDate</t>
  </si>
  <si>
    <t>AE onset&lt;br/&gt;date</t>
  </si>
  <si>
    <t>mdrtb.pv.register.adverseEvent</t>
  </si>
  <si>
    <t>AE description&lt;br/&gt;(from TB01R form&lt;br/&gt;PV/aDSM annex,&lt;br/&gt;field #1)</t>
  </si>
  <si>
    <t>mdrtb.pv.register.diagnosticInvestigation</t>
  </si>
  <si>
    <t>Result of lab test/&lt;br/&gt;diagnostic&lt;br/&gt;investigation&lt;br/&gt;confirming AE&lt;br/&gt;(from TB01R form&lt;br/&gt;PV/aDSM annex,&lt;br/&gt;field #3)</t>
  </si>
  <si>
    <t>mdrtb.pv.register.typeOfEvent</t>
  </si>
  <si>
    <t>AE Type</t>
  </si>
  <si>
    <t>mdrtb.pv.register.requiringAncillary</t>
  </si>
  <si>
    <t>AE&lt;br/&gt;requiring&lt;br/&gt;ancillary&lt;br/&gt;drugs&lt;br/&gt;&lt;br/&gt;Yes/No</t>
  </si>
  <si>
    <t>mdrtb.pv.register.requiringChanges</t>
  </si>
  <si>
    <t>AE requiring&lt;br/&gt;changes&lt;br/&gt;in drug&lt;br/&gt;dosage,&lt;br/&gt;treatment&lt;br/&gt;regimen, or&lt;br/&gt;substitution&lt;br/&gt;of drug&lt;br/&gt;&lt;br/&gt;Yes/No</t>
  </si>
  <si>
    <t>mdrtb.pv.register.suspectedDrug</t>
  </si>
  <si>
    <t>Name of the drug&lt;br/&gt;suspected in resulting&lt;br/&gt;in AE</t>
  </si>
  <si>
    <t>mdrtb.pv.register.suspectedDrugTxStartDate</t>
  </si>
  <si>
    <t>Suspected&lt;br/&gt;drug&lt;br/&gt;treatment&lt;br/&gt;start date</t>
  </si>
  <si>
    <t>mdrtb.pv.register.actionTaken</t>
  </si>
  <si>
    <t>Action taken to avert AE&lt;br/&gt;&lt;br/&gt;(1.Dose not changed&lt;br/&gt;2.Dose reduced&lt;br/&gt;3.Drug interrupted&lt;br/&gt;4.Drug withdrawn&lt;br/&gt;5.Ancillary drug given&lt;br/&gt;6.Additional examination)</t>
  </si>
  <si>
    <t>mdrtb.pv.register.actionOutcome</t>
  </si>
  <si>
    <t>Outcome of the&lt;br/&gt;action taken&lt;br/&gt;&lt;br/&gt;(1.Resolved&lt;br/&gt;2.Resolved with sequelae&lt;br/&gt;3.Fatal&lt;br/&gt;4.Resolving&lt;br/&gt;5.Not resolved)&lt;br/&gt;</t>
  </si>
  <si>
    <t>mdrtb.pv.register.treatmentRegimenAtOnset</t>
  </si>
  <si>
    <t>Treatment&lt;br/&gt;Regimen during&lt;br/&gt;the AE onset&lt;br/&gt;(list of anti TB&lt;br/&gt;drugs)</t>
  </si>
  <si>
    <t>mdrtb.pv.register.drugRechallenge</t>
  </si>
  <si>
    <t>Drug Rechallenge&lt;br/&gt;&lt;br/&gt;(1.No rechallenge done&lt;br/&gt;2.Recurrence of event&lt;br/&gt;3.No recurrence&lt;br/&gt;4.Drug interrupted)</t>
  </si>
  <si>
    <t>mdrtb.pv.register.causalityAssessment</t>
  </si>
  <si>
    <t>Causality&lt;br/&gt;Commission&lt;br/&gt;decision on the causality of the&lt;br/&gt;drug&lt;br/&gt;&lt;br/&gt;(1.Definite&lt;br/&gt;2.Probable&lt;br/&gt;3.Possible&lt;br/&gt;4.Suspected&lt;br/&gt;5.Not classified)&lt;br/&gt;</t>
  </si>
  <si>
    <t>mdrtb.pv.register.yellowCardDate</t>
  </si>
  <si>
    <t>Yellow Card&lt;br/&gt;Submission&lt;br/&gt;date&lt;br/&gt;</t>
  </si>
  <si>
    <t>mdrtb.pv.register.comments</t>
  </si>
  <si>
    <t>mdrtb.pv.register.title</t>
  </si>
  <si>
    <t>TB Drugs Adverse Events Register</t>
  </si>
  <si>
    <t>mdrtb.pv.register.serious</t>
  </si>
  <si>
    <t>Serious AE&lt;br/&gt;(1.Death&lt;br/&gt;2. Hospitalization/&lt;br/&gt;extension&lt;br/&gt;3. Disability&lt;br/&gt;4. Congenital&lt;br/&gt;anomaly&lt;br/&gt;5. Life threatening&lt;br/&gt;or other medically&lt;br/&gt;important condition</t>
  </si>
  <si>
    <t>mdrtb.pv.register.ofSpecialInterest</t>
  </si>
  <si>
    <t>AE of special interest&lt;br/&gt;(1.Peripheral neuropathy&lt;br/&gt;2.Psychiatric disorders and central&lt;br/&gt;nervous system toxicity&lt;br/&gt; 3.Optic nerve disorder (optic neuritis) or&lt;br/&gt;retinopathy,&lt;br/&gt; 4.Ototoxicity&lt;br/&gt; 5.Myelosuppression&lt;br/&gt;6.Prolonged QT interval&lt;br/&gt;  7.Lactic acidosis&lt;br/&gt;8.Hepatitis&lt;br/&gt; 9.Hypothyroidism&lt;br/&gt; 10.Hypokalaemia&lt;br/&gt; 11.Pancreatitis&lt;br/&gt; 12.Phospholipidosis&lt;br/&gt;13.Acute kidney injury&lt;br/&gt;</t>
  </si>
  <si>
    <t>mdrtb.reportParameters</t>
  </si>
  <si>
    <t>Report parameters</t>
  </si>
  <si>
    <t>mdrtb.tb03Parameters</t>
  </si>
  <si>
    <t>TB03 parameters</t>
  </si>
  <si>
    <t>mdrtb.form89Parameters</t>
  </si>
  <si>
    <t>Form 89 parameters</t>
  </si>
  <si>
    <t>mdrtb.tb03uParameters</t>
  </si>
  <si>
    <t>TB03u parameters</t>
  </si>
  <si>
    <t>mdrtb.tb07Parameters</t>
  </si>
  <si>
    <t>TB07 parameters</t>
  </si>
  <si>
    <t>mdrtb.tb07uParameters</t>
  </si>
  <si>
    <t>TB07u parameters</t>
  </si>
  <si>
    <t>mdrtb.tb08Parameters</t>
  </si>
  <si>
    <t>TB08 parameters</t>
  </si>
  <si>
    <t>mdrtb.tb08uParameters</t>
  </si>
  <si>
    <t>TB08u parameters</t>
  </si>
  <si>
    <t>mdrtb.tb03.iResult</t>
  </si>
  <si>
    <t>Inj (R/S/U)</t>
  </si>
  <si>
    <t>mdrtb.tb03.fResult</t>
  </si>
  <si>
    <t xml:space="preserve">Fq (R/S/U) </t>
  </si>
  <si>
    <t>mdrtb.tb03.hain2</t>
  </si>
  <si>
    <t>mdrtb.tb03.testNumber</t>
  </si>
  <si>
    <t>Test No.</t>
  </si>
  <si>
    <t>mdrtb.pregnant</t>
  </si>
  <si>
    <t xml:space="preserve"> Pregnant</t>
  </si>
  <si>
    <t>mdrtb.annual</t>
  </si>
  <si>
    <t>Annual</t>
  </si>
  <si>
    <t>mdrtb.display</t>
  </si>
  <si>
    <t>Display</t>
  </si>
  <si>
    <t>mdrtb.error.missingCollectionDate</t>
  </si>
  <si>
    <t>Please enter a collection date</t>
  </si>
  <si>
    <t>mdrtb.error.collectionDateInFuture</t>
  </si>
  <si>
    <t>Date of Collection cannot be in the future</t>
  </si>
  <si>
    <t>mdrtb.error.missingTreatmentMonth</t>
  </si>
  <si>
    <t>Please enter a month of treatment</t>
  </si>
  <si>
    <t>mdrtb.error.missingRegimenDate</t>
  </si>
  <si>
    <t>Please enter a regimen date</t>
  </si>
  <si>
    <t>mdrtb.error.regimenDateInFuture</t>
  </si>
  <si>
    <t>Date of Regimen cannot be in the future</t>
  </si>
  <si>
    <t>mdrtb.error.missingCmacDate</t>
  </si>
  <si>
    <t>Please enter a CMAC date</t>
  </si>
  <si>
    <t>mdrtb.error.cmacDateInFuture</t>
  </si>
  <si>
    <t>CMAC date cannot be in the future</t>
  </si>
  <si>
    <t>mdrtb.error.missingRegistrationDate</t>
  </si>
  <si>
    <t>Please enter a registration date</t>
  </si>
  <si>
    <t>mdrtb.error.registrationDateInFuture</t>
  </si>
  <si>
    <t>Date of Registration cannot be in the future</t>
  </si>
  <si>
    <t>mdrtb.error.treatmentStartDateInFuture</t>
  </si>
  <si>
    <t>Treatment Start Date cannot be in the future</t>
  </si>
  <si>
    <t>mdrtb.error.hivTestDateInFuture</t>
  </si>
  <si>
    <t>HIV Test Date cannot be in the future</t>
  </si>
  <si>
    <t>mdrtb.error.artStartDateInFuture</t>
  </si>
  <si>
    <t>ART Start Date cannot be in the future</t>
  </si>
  <si>
    <t>mdrtb.error.pctStartDateInFuture</t>
  </si>
  <si>
    <t>PCT Start Date cannot be in the future</t>
  </si>
  <si>
    <t>mdrtb.error.xrayDateInFuture</t>
  </si>
  <si>
    <t>Xray Date cannot be in the future</t>
  </si>
  <si>
    <t>mdrtb.error.treatmentOutcomeDateInFuture</t>
  </si>
  <si>
    <t>Treatment Outcome Date cannot be in the future</t>
  </si>
  <si>
    <t>mdrtb.error.confirmationDateInFuture</t>
  </si>
  <si>
    <t>Confirmation Date cannot be in the future</t>
  </si>
  <si>
    <t>mdrtb.error.deathDateInFuture</t>
  </si>
  <si>
    <t>Date of Death cannot be in the future</t>
  </si>
  <si>
    <t>mdrtb.error.firstEncounterDateInFuture</t>
  </si>
  <si>
    <t>Date of First Encounter cannot be in the future</t>
  </si>
  <si>
    <t>mdrtb.error.dateOfReturnInFuture</t>
  </si>
  <si>
    <t>Date of Return cannot be in the future</t>
  </si>
  <si>
    <t>mdrtb.error.dateOfDecaySurveyInFuture</t>
  </si>
  <si>
    <t>Date of Investigation cannot be in the future</t>
  </si>
  <si>
    <t>mdrtb.error.form89DateInFuture</t>
  </si>
  <si>
    <t>Form 89 date cannot be in the future</t>
  </si>
  <si>
    <t>mdrtb.tb08u.titleShort</t>
  </si>
  <si>
    <t xml:space="preserve">QUARTERLY REPORT ON THE RESULTS OF MDR TB TREATMENT, INCLUDED IN COHORT ON &lt;u&gt;SHORT REGIMEN TREATMENT&lt;/u&gt; OF MDR TB&lt;br/&gt;(filled in 9 – 12 months of the last date of quarter or year of treatment enrollment) </t>
  </si>
  <si>
    <t>mdrtb.tb08u.titleIndiv</t>
  </si>
  <si>
    <t>QUARTERLY REPORT ON TREATMENT RESULTS OF MDR TB, INCLUDED IN COHORT ON &lt;u&gt;INDIVIDUAL TREATMENT REGIMEN&lt;/u&gt; OF MDR TB&lt;br/&gt;(filled in 24 – 36 months of last date of quarter or treatment enrollment)</t>
  </si>
  <si>
    <t>mdrtb.tb08u.titleStandard</t>
  </si>
  <si>
    <t>QUARTERLY REPORT ON TREATMENT RESULTS OF MDR TB, INCLUDED IN COHORT ON &lt;u&gt;STANDARD TREATMENT REGIMEN&lt;/u&gt; OF MDR TB&lt;br/&gt;(filled in 24 – 36 months of last date of quarter or treatment enrollment)</t>
  </si>
  <si>
    <t>mdrtb.tb08u.nameOfFacility</t>
  </si>
  <si>
    <t>Name of Facility:</t>
  </si>
  <si>
    <t>mdrtb.tb08u.regionCityDistrict</t>
  </si>
  <si>
    <t>Region/City/District:</t>
  </si>
  <si>
    <t>mdrtb.tb08u.tbCoordinatorName</t>
  </si>
  <si>
    <t>Name of TB Coordinator:</t>
  </si>
  <si>
    <t>mdrtb.tb08u.signature</t>
  </si>
  <si>
    <t>Signature:</t>
  </si>
  <si>
    <t>mdrtb.tb08u.tbCasesDetectedDuringQuarterYear</t>
  </si>
  <si>
    <t>Quarter and Year of treatment enrollment &lt;u&gt;{0}&lt;/u&gt; - &lt;u&gt;{1}&lt;/u&gt;</t>
  </si>
  <si>
    <t>mdrtb.tb08u.dateOfReport</t>
  </si>
  <si>
    <t>mdrtb.tb08u.registrationGroup</t>
  </si>
  <si>
    <t>Registration group</t>
  </si>
  <si>
    <t>mdrtb.tb08u.registered</t>
  </si>
  <si>
    <t>Registered</t>
  </si>
  <si>
    <t>mdrtb.tb08u.cured</t>
  </si>
  <si>
    <t>mdrtb.tb08u.txCompleted</t>
  </si>
  <si>
    <t>mdrtb.tb08u.successfullyTreated</t>
  </si>
  <si>
    <t>TxSuccessful Treatment&lt;/br&gt;(Cured+ Treatment completed)</t>
  </si>
  <si>
    <t>mdrtb.tb08u.died</t>
  </si>
  <si>
    <t>mdrtb.tb08u.failure</t>
  </si>
  <si>
    <t>mdrtb.tb08u.ltfu</t>
  </si>
  <si>
    <t>Lost to Follow-&lt;br/&gt;up</t>
  </si>
  <si>
    <t>mdrtb.tb08u.notAssessed</t>
  </si>
  <si>
    <t>Result Not&lt;br/&gt;Assessed&lt;br/&gt;(still on treatment&lt;br/&gt;or transferred out)</t>
  </si>
  <si>
    <t>mdrtb.tb08u.total</t>
  </si>
  <si>
    <t>mdrtb.tb08u.tb</t>
  </si>
  <si>
    <t>mdrtb.tb08u.notTb</t>
  </si>
  <si>
    <t>Not TB</t>
  </si>
  <si>
    <t>mdrtb.tb08u.newCases</t>
  </si>
  <si>
    <t>mdrtb.tb08u.relapse</t>
  </si>
  <si>
    <t>Relapse after treatment&lt;br/&gt;on regimen&lt;/td&gt;</t>
  </si>
  <si>
    <t>mdrtb.tb08u.afterDefault</t>
  </si>
  <si>
    <t>Default after treatment &lt;br/&gt;on regimen</t>
  </si>
  <si>
    <t>mdrtb.tb08u.afterFailure</t>
  </si>
  <si>
    <t>Failure after treatment &lt;br/&gt;on regimen</t>
  </si>
  <si>
    <t>mdrtb.tb08u.other</t>
  </si>
  <si>
    <t>mdrtb.tb08u.totalRow</t>
  </si>
  <si>
    <t>mdrtb.tb07u</t>
  </si>
  <si>
    <t>mdrtb.tb07u.title</t>
  </si>
  <si>
    <t>Quarterly Report on Detection and Treatment Enrollment of MDR TB Cases</t>
  </si>
  <si>
    <t>mdrtb.tb07u.table1</t>
  </si>
  <si>
    <t xml:space="preserve"> 1-Number of MDR TB detected cases during quarter: </t>
  </si>
  <si>
    <t>mdrtb.tb07u.table2</t>
  </si>
  <si>
    <t xml:space="preserve"> 2-Number of MDR TB cases enrolled in treatment during quarter breakdown on registration group: </t>
  </si>
  <si>
    <t>mdrtb.tb07u.table3</t>
  </si>
  <si>
    <t xml:space="preserve"> 3- Number of MDR TB cases enrolled in treatment during quarter breakdown on treatment regimen: </t>
  </si>
  <si>
    <t>mdrtb.tb07u.nameOfFacility</t>
  </si>
  <si>
    <t>mdrtb.tb07u.regionCityDistrict</t>
  </si>
  <si>
    <t>mdrtb.tb07u.tbCoordinatorName</t>
  </si>
  <si>
    <t>mdrtb.tb07u.signature</t>
  </si>
  <si>
    <t>mdrtb.tb07u.tbCasesDetectedDuringQuarterYear</t>
  </si>
  <si>
    <t>Cases detected in quarter &lt;u&gt;{0}&lt;/u, year &lt;u&gt;{1}&lt;/u&gt;</t>
  </si>
  <si>
    <t>mdrtb.tb07u.dateOfReport</t>
  </si>
  <si>
    <t>mdrtb.tb07u.registrationGroup</t>
  </si>
  <si>
    <t>mdrtb.tb07u.retreatmentCases</t>
  </si>
  <si>
    <t>mdrtb.tb07u.total</t>
  </si>
  <si>
    <t>mdrtb.tb07u.newCases</t>
  </si>
  <si>
    <t>mdrtb.tb07u.relapse</t>
  </si>
  <si>
    <t>mdrtb.tb07u.afterDefault</t>
  </si>
  <si>
    <t>mdrtb.tb07u.afterFailure</t>
  </si>
  <si>
    <t>mdrtb.tb07u.other</t>
  </si>
  <si>
    <t>mdrtb.tb07u.totalCasesDetected</t>
  </si>
  <si>
    <t>Total number of detected DR TB cases</t>
  </si>
  <si>
    <t>mdrtb.tb07u.pdr</t>
  </si>
  <si>
    <t>Poly drug resistant TB</t>
  </si>
  <si>
    <t>mdrtb.tb07u.mdr</t>
  </si>
  <si>
    <t>RIF/MDR TB</t>
  </si>
  <si>
    <t>mdrtb.tb07u.prexdr</t>
  </si>
  <si>
    <t>Pre – XDR TB</t>
  </si>
  <si>
    <t>mdrtb.tb07u.xdr</t>
  </si>
  <si>
    <t>XDR TB</t>
  </si>
  <si>
    <t>mdrtb.tb07u.ofThem</t>
  </si>
  <si>
    <t>of them</t>
  </si>
  <si>
    <t>mdrtb.tb07u.children</t>
  </si>
  <si>
    <t>children</t>
  </si>
  <si>
    <t>mdrtb.tb07u.withHiv</t>
  </si>
  <si>
    <t>with HIV cases</t>
  </si>
  <si>
    <t>mdrtb.tb07u.short</t>
  </si>
  <si>
    <t>Short Treatment Regimen</t>
  </si>
  <si>
    <t>mdrtb.tb07u.standard</t>
  </si>
  <si>
    <t>Standard Treatment Regimen</t>
  </si>
  <si>
    <t>mdrtb.tb07u.indLzd</t>
  </si>
  <si>
    <t>Individualized Regimen with Lzd and Cfz</t>
  </si>
  <si>
    <t>mdrtb.tb07u.indBdq</t>
  </si>
  <si>
    <t>Individualized Regimen with Bdq</t>
  </si>
  <si>
    <t>mdrtb.tb07u.preXdrXdr</t>
  </si>
  <si>
    <t>Pre-XDR/XDR</t>
  </si>
  <si>
    <t>mdrtb.tb07u.totalMdr</t>
  </si>
  <si>
    <t>Total RR/MDR</t>
  </si>
  <si>
    <t>mdrtb.tb07u.totalPreXdrXdr</t>
  </si>
  <si>
    <t>Total Pre-XDR/XDR</t>
  </si>
  <si>
    <t>mdrtb.form8Parameters</t>
  </si>
  <si>
    <t>Form 8 Parameters</t>
  </si>
  <si>
    <t>mdrtb.form8.main</t>
  </si>
  <si>
    <t>MINISTRY OF HEALTH AND SOCIAL PROTECTION OF THE POPULATION OF THE REPUBLIC OF TAJIKISTAN STATE STATISTICAL REPORTING</t>
  </si>
  <si>
    <t>mdrtb.form8.main.codes</t>
  </si>
  <si>
    <t>Codes</t>
  </si>
  <si>
    <t>mdrtb.form8.main.column1</t>
  </si>
  <si>
    <t>OKUD Form Code</t>
  </si>
  <si>
    <t>mdrtb.form8.main.column2</t>
  </si>
  <si>
    <t>Reporting organization for OKPO</t>
  </si>
  <si>
    <t>mdrtb.form8.main.column3</t>
  </si>
  <si>
    <t>OKED activity type</t>
  </si>
  <si>
    <t>mdrtb.form8.main.column4</t>
  </si>
  <si>
    <t>Branches by OKONH</t>
  </si>
  <si>
    <t>mdrtb.form8.main.column5</t>
  </si>
  <si>
    <t>OKATO Territories</t>
  </si>
  <si>
    <t>mdrtb.form8.main.column6</t>
  </si>
  <si>
    <t>Ministries (departments) of the management body for OKOGU</t>
  </si>
  <si>
    <t>mdrtb.form8.main.column7</t>
  </si>
  <si>
    <t>Legal form for COPF</t>
  </si>
  <si>
    <t>mdrtb.form8.main.column8</t>
  </si>
  <si>
    <t>FSC ownership forms</t>
  </si>
  <si>
    <t>mdrtb.form8.main.toWhom</t>
  </si>
  <si>
    <t>To Whom</t>
  </si>
  <si>
    <t>mdrtb.form8.main.name</t>
  </si>
  <si>
    <t>mdrtb.form8.main.recAddress</t>
  </si>
  <si>
    <t>Address of Recipient</t>
  </si>
  <si>
    <t>mdrtb.form8.main.statCommittee</t>
  </si>
  <si>
    <t>Approved by the Resolution of the State Statistics Committee</t>
  </si>
  <si>
    <t>mdrtb.form8.main.repTajikistan</t>
  </si>
  <si>
    <t>Of the Republic of Tajikistan No. 54 of 11.11.2013</t>
  </si>
  <si>
    <t>mdrtb.form8.main.postageAnnual</t>
  </si>
  <si>
    <t>Postage - Annual</t>
  </si>
  <si>
    <t>mdrtb.form8.main.legal</t>
  </si>
  <si>
    <t>Present:&lt;br/&gt;Regional, republican, district, city centers for tuberculosis control, at the direction of higher health authorities, leading territorial register (card file) of patients with tuberculosis and receiving for this purpose notifications about newly detected diseases - the health authority of the territory (city, district, region, republic) ) - January 5th;&lt;br/&gt;Territorial health authorities of the territory summary report on the city, district, region - Republican Tuberculosis Center, Republican Tuberculosis Center; summary report in the context of cities, districts, regions, and the Republic - Republican Center for Medical Statistics and Information of the Ministry of Health of the RT deadlines;&lt;br/&gt;Republican Center for Medical Statistics and Information MoH RT -&lt;br/&gt;The State Statistics Committee of the Republic of Tajikistan - March 20.</t>
  </si>
  <si>
    <t>mdrtb.form8.main.institutionAddress</t>
  </si>
  <si>
    <t>Address of Institution</t>
  </si>
  <si>
    <t>mdrtb.form8.main.ownership</t>
  </si>
  <si>
    <t>Form of Ownership &lt;u&gt;State&lt;/u&gt;</t>
  </si>
  <si>
    <t>mdrtb.form8.main.sub</t>
  </si>
  <si>
    <t>REPORT ON DISEASES BY ACTIVE TUBERCULOSIS</t>
  </si>
  <si>
    <t>mdrtb.form8.main.forTheYear</t>
  </si>
  <si>
    <t>for the year {0}</t>
  </si>
  <si>
    <t>mdrtb.form8.main.city</t>
  </si>
  <si>
    <t>City</t>
  </si>
  <si>
    <t>mdrtb.form8.table1.title</t>
  </si>
  <si>
    <t>1. Newly identified active tuberculosis patients</t>
  </si>
  <si>
    <t>mdrtb.form8.table2.title</t>
  </si>
  <si>
    <t>2. The contingent of patients</t>
  </si>
  <si>
    <t>mdrtb.form8.table3.title</t>
  </si>
  <si>
    <t>3. The movement of contingents of patients</t>
  </si>
  <si>
    <t>mdrtb.form8.table4.title</t>
  </si>
  <si>
    <t>4. Hospital and sanatorium care for patients</t>
  </si>
  <si>
    <t>mdrtb.form8.table5.title</t>
  </si>
  <si>
    <t>5. Work in tuberculosis foci</t>
  </si>
  <si>
    <t>mdrtb.form8.table5a.title</t>
  </si>
  <si>
    <t>5А. Bacillus tuberculosis</t>
  </si>
  <si>
    <t>mdrtb.form8.table5b.title</t>
  </si>
  <si>
    <t xml:space="preserve">5B. Contact with a patient with tuberculosis  </t>
  </si>
  <si>
    <t>mdrtb.form8.table6.title</t>
  </si>
  <si>
    <t xml:space="preserve">6. Report on the results of treatment of cases of TB detected 12-15 months ago </t>
  </si>
  <si>
    <t>mdrtb.form8.item</t>
  </si>
  <si>
    <t>Item</t>
  </si>
  <si>
    <t>mdrtb.form8.sex</t>
  </si>
  <si>
    <t>Sex</t>
  </si>
  <si>
    <t>mdrtb.form8.icd</t>
  </si>
  <si>
    <t>ICD-10 code</t>
  </si>
  <si>
    <t>mdrtb.form8.number</t>
  </si>
  <si>
    <t>Number</t>
  </si>
  <si>
    <t>mdrtb.form8.total</t>
  </si>
  <si>
    <t>mdrtb.form8.years</t>
  </si>
  <si>
    <t>years</t>
  </si>
  <si>
    <t>mdrtb.form8.including</t>
  </si>
  <si>
    <t>including</t>
  </si>
  <si>
    <t>mdrtb.form8.yearsAndOlder</t>
  </si>
  <si>
    <t>years and older</t>
  </si>
  <si>
    <t>mdrtb.form8.includingRural</t>
  </si>
  <si>
    <t>including rural residents</t>
  </si>
  <si>
    <t>mdrtb.form8.activeTotal</t>
  </si>
  <si>
    <t>Active tuberculosis patients - Total</t>
  </si>
  <si>
    <t>mdrtb.form8.includingRespiratory</t>
  </si>
  <si>
    <t>Including:&lt;br/&gt;Respiratory Tuberculosis</t>
  </si>
  <si>
    <t>mdrtb.form8.pulmonary</t>
  </si>
  <si>
    <t>mdrtb.form8.withBacterioExcretion</t>
  </si>
  <si>
    <t>mdrtb.form8.fibroCavernous</t>
  </si>
  <si>
    <t>mdrtb.form8.nervousSystem</t>
  </si>
  <si>
    <t>Nervous System</t>
  </si>
  <si>
    <t>mdrtb.form8.otherOrgans</t>
  </si>
  <si>
    <t>Other Organs</t>
  </si>
  <si>
    <t>mdrtb.form8.osteoarticular</t>
  </si>
  <si>
    <t>Osteoarticular</t>
  </si>
  <si>
    <t>mdrtb.form8.urogenital</t>
  </si>
  <si>
    <t>Urogenital</t>
  </si>
  <si>
    <t>mdrtb.form8.lymphNodes</t>
  </si>
  <si>
    <t>Peripheral Lymph Nodes</t>
  </si>
  <si>
    <t>mdrtb.form8.abdominal</t>
  </si>
  <si>
    <t>Abdominal</t>
  </si>
  <si>
    <t>mdrtb.form8.eye</t>
  </si>
  <si>
    <t>Eye</t>
  </si>
  <si>
    <t>mdrtb.form8.miliary</t>
  </si>
  <si>
    <t>Miliary</t>
  </si>
  <si>
    <t>mdrtb.form8.includingResistant</t>
  </si>
  <si>
    <t xml:space="preserve"> &lt;b&gt;of the total&lt;/b&gt;&lt;br/&gt;- Resistant TB</t>
  </si>
  <si>
    <t>mdrtb.form8.tbhiv</t>
  </si>
  <si>
    <t xml:space="preserve"> - TB/HIV</t>
  </si>
  <si>
    <t>mdrtb.form8.rural</t>
  </si>
  <si>
    <t xml:space="preserve"> - Rural Residents</t>
  </si>
  <si>
    <t>mdrtb.form8.patientsRegistered</t>
  </si>
  <si>
    <t>Patients Registered</t>
  </si>
  <si>
    <t>mdrtb.form8.patientsDeregistered</t>
  </si>
  <si>
    <t>Patients De-registered</t>
  </si>
  <si>
    <t>mdrtb.form8.patientsOnRecord</t>
  </si>
  <si>
    <t>Patients on Record</t>
  </si>
  <si>
    <t>mdrtb.form8.patientsAtEndOfYear</t>
  </si>
  <si>
    <t>The number of patients at the end of the reporting year</t>
  </si>
  <si>
    <t>mdrtb.form8.includingPHCDiagnosed</t>
  </si>
  <si>
    <t>Including in  PHC</t>
  </si>
  <si>
    <t>mdrtb.form8.inDecayPhase</t>
  </si>
  <si>
    <t xml:space="preserve"> - in Decay Phase</t>
  </si>
  <si>
    <t>mdrtb.form8.t2f1</t>
  </si>
  <si>
    <t>From the number of patients with the first-ever established diagnosis of active tuberculosis (A15-16) detected during routine checkups: total (1) &lt;u&gt;{0}&lt;/u&gt; including 0-14 year (2) &lt;u&gt;{1}&lt;/u&gt;, 15-17 year (3) &lt;u&gt;{2}&lt;/u&gt;, 18-19 year (4) &lt;u&gt;{3}&lt;/u&gt;, by specialists ОЛС(5) &lt;u&gt;{4}&lt;/u&gt;, by TB doctors (6) &lt;u&gt;{5}&lt;/u&gt; and other specialists(7) &lt;u&gt;{6}&lt;/u&gt;</t>
  </si>
  <si>
    <t>mdrtb.form8.t2f2</t>
  </si>
  <si>
    <t xml:space="preserve">From the number of registered children, they were sent to sanatorium nursery, nursery gardens and kindergartens (8) ______, sanatorium boarding schools and summer schools (9)  _______. </t>
  </si>
  <si>
    <t>mdrtb.form8.t2f3</t>
  </si>
  <si>
    <t>Of the number of first registered in the reporting year, focal &lt;u&gt;{0}&lt;/u&gt;,  infiltrative &lt;u&gt;{1}&lt;/u&gt;,  disseminated &lt;u&gt;{2}&lt;/u&gt;, cavernous &lt;u&gt;{3}&lt;/u&gt;, fibro-cavernous &lt;u&gt;{4}&lt;/u&gt;, cirrhotic &lt;u&gt;{5}&lt;/u&gt;,  primary tuberculosis complex &lt;u&gt;{6}&lt;/u&gt;, miliary &lt;u&gt;{7}&lt;/u&gt;, tuberculoma &lt;u&gt;{8}&lt;/u&gt;, bronchi &lt;u&gt;{9}&lt;/u&gt;, pleurisy &lt;u&gt;{10}&lt;/u&gt;,  hilar lymph nodes &lt;u&gt;{11}&lt;/u&gt;, osteoarticular &lt;u&gt;{12}&lt;/u&gt;, urinary organs &lt;u&gt;{13}&lt;/u&gt;,  peripheral lymph nodes &lt;u&gt;{14}&lt;/u&gt;, abdominal &lt;u&gt;{15}&lt;/u&gt;, skin &lt;u&gt;{16}&lt;/u&gt;, eye &lt;u&gt;{17}&lt;/u&gt;, nervous system &lt;u&gt;{18}&lt;/u&gt;, liver &lt;u&gt;{19}&lt;/u&gt;</t>
  </si>
  <si>
    <t>mdrtb.form8.t2f4</t>
  </si>
  <si>
    <t>From the number of newly discovered who are registered during the reporting period: women of childbearing age (15-49) &lt;u&gt;{0}&lt;/u&gt;; of which are pregnant &lt;u&gt;{1}&lt;/u&gt;; contact &lt;u&gt;{2}&lt;/u&gt;; migrants &lt;u&gt;{3}&lt;/u&gt;; PHC workers &lt;u&gt;{4}&lt;/u&gt;, TB service workers &lt;u&gt;{5}&lt;/u&gt;</t>
  </si>
  <si>
    <t>mdrtb.form8.t2f5</t>
  </si>
  <si>
    <t>The number of repeat patients who are registered during the reporting period: relapses &lt;u&gt;{0}&lt;/u&gt;, after ineffective treatment &lt;u&gt;{1}&lt;/u&gt;, after separation from treatment &lt;u&gt;{2}&lt;/u&gt;, others &lt;u&gt;{3}&lt;/u&gt;.</t>
  </si>
  <si>
    <t>mdrtb.form8.group1To2</t>
  </si>
  <si>
    <t>In reporting year transferred cured patient from Group I into Group II (control)</t>
  </si>
  <si>
    <t>mdrtb.form8.group2To1</t>
  </si>
  <si>
    <t>In connection with the intensification of the process translated from: Group II to Group I</t>
  </si>
  <si>
    <t>mdrtb.form8.relapses</t>
  </si>
  <si>
    <t>Patients in Relapse</t>
  </si>
  <si>
    <t>mdrtb.form8.translateFrom</t>
  </si>
  <si>
    <t>Translated patients with active tuberculosis:&lt;br/&gt;&amp;nbsp;&amp;nbsp;&amp;nbsp;&amp;nbsp;from other institutions</t>
  </si>
  <si>
    <t>mdrtb.form8.translateTo</t>
  </si>
  <si>
    <t>&amp;nbsp;&amp;nbsp;&amp;nbsp;&amp;nbsp;to other institutions</t>
  </si>
  <si>
    <t>mdrtb.form8.nonDiagnosis</t>
  </si>
  <si>
    <t>Taken in connection with a change in the diagnosis of non-tuberculosis</t>
  </si>
  <si>
    <t>mdrtb.form8.diedOfTB</t>
  </si>
  <si>
    <t>Died from tuberculosis, total (line 08 + 13)</t>
  </si>
  <si>
    <t>mdrtb.form8.includingActive</t>
  </si>
  <si>
    <t>including: - from active forms of tuberculosis</t>
  </si>
  <si>
    <t>mdrtb.form8.fromNew</t>
  </si>
  <si>
    <t>mdrtb.form8.diedInHospital</t>
  </si>
  <si>
    <t>mdrtb.form8.children017</t>
  </si>
  <si>
    <t>- children 0-17 years old</t>
  </si>
  <si>
    <t>mdrtb.form8.notRegistered</t>
  </si>
  <si>
    <t>mdrtb.form8.tbhivCoinfection</t>
  </si>
  <si>
    <t>HIV / TB co-infection</t>
  </si>
  <si>
    <t>mdrtb.form8.fromOtherDiseases</t>
  </si>
  <si>
    <t>From other diseases</t>
  </si>
  <si>
    <t>mdrtb.form8.activeHospitalized</t>
  </si>
  <si>
    <t>Hospitalized with active tuberculosis, total</t>
  </si>
  <si>
    <t>mdrtb.form8.inHospital</t>
  </si>
  <si>
    <t>in the hospital</t>
  </si>
  <si>
    <t>mdrtb.form8.inSanatorium</t>
  </si>
  <si>
    <t>in a sanatorium</t>
  </si>
  <si>
    <t>mdrtb.form8.firstIdentifiedTotal</t>
  </si>
  <si>
    <t>First identified, total</t>
  </si>
  <si>
    <t>mdrtb.form8.mtbPositive</t>
  </si>
  <si>
    <t>MTB+</t>
  </si>
  <si>
    <t>mdrtb.form8.others</t>
  </si>
  <si>
    <t>other patients</t>
  </si>
  <si>
    <t>mdrtb.form8.t4f1</t>
  </si>
  <si>
    <t>Operated patients, total: (1), including about the respiratory system (2) ____, including about fibro-cavernous (3) ________; osteo-articular (4) _____; urinary organs (5) ________; peripheral lymph nodes (6) _________.</t>
  </si>
  <si>
    <t>mdrtb.form8.atBeginning</t>
  </si>
  <si>
    <t>At the beginning of the reporting year was monitored</t>
  </si>
  <si>
    <t>mdrtb.form8.newlyIdentified</t>
  </si>
  <si>
    <t>Newly Identified Patients</t>
  </si>
  <si>
    <t>mdrtb.form8.newActive</t>
  </si>
  <si>
    <t>Newly detected with active tuberculosis</t>
  </si>
  <si>
    <t>mdrtb.form8.repeated</t>
  </si>
  <si>
    <t>Repeated</t>
  </si>
  <si>
    <t>mdrtb.form8.transferMtb</t>
  </si>
  <si>
    <t>Translated from MTB + from other agencies</t>
  </si>
  <si>
    <t>mdrtb.form8.ceasedMtb</t>
  </si>
  <si>
    <t>Has ceased to allocate MBT +</t>
  </si>
  <si>
    <t>mdrtb.form8.outOfArea</t>
  </si>
  <si>
    <t>Out of service area</t>
  </si>
  <si>
    <t>mdrtb.form8.diedTB</t>
  </si>
  <si>
    <t>Died from tuberculosis</t>
  </si>
  <si>
    <t>mdrtb.form8.atEnd</t>
  </si>
  <si>
    <t xml:space="preserve">Composed at the end of the reporting year </t>
  </si>
  <si>
    <t>mdrtb.form8.totalBacPositiveRespiratory</t>
  </si>
  <si>
    <t>Total patients with respiratory tuberculosis secreting Mycobacterium tuberculosis</t>
  </si>
  <si>
    <t>mdrtb.form8.includingVillagers</t>
  </si>
  <si>
    <t>including villagers</t>
  </si>
  <si>
    <t>mdrtb.form8.registered</t>
  </si>
  <si>
    <t>mdrtb.form8.surveyedThisYear</t>
  </si>
  <si>
    <t>Of them surveyed in this year</t>
  </si>
  <si>
    <t>mdrtb.form8.includingPHC</t>
  </si>
  <si>
    <t>Including in PHC and other CHS</t>
  </si>
  <si>
    <t>mdrtb.form8.gotChemo</t>
  </si>
  <si>
    <t>Received chemoprophylaxis</t>
  </si>
  <si>
    <t>mdrtb.form8.tb</t>
  </si>
  <si>
    <t>mdrtb.form8.includingInPHC</t>
  </si>
  <si>
    <t>Including in PHC</t>
  </si>
  <si>
    <t>mdrtb.form8.hiv</t>
  </si>
  <si>
    <t>HIV</t>
  </si>
  <si>
    <t>mdrtb.form8.removed</t>
  </si>
  <si>
    <t>Removed from Register</t>
  </si>
  <si>
    <t>mdrtb.form8.numberLiving</t>
  </si>
  <si>
    <t>Number of people living in foci of tuberculosis with mycobacterium tuberculosis patients</t>
  </si>
  <si>
    <t>ТБ</t>
  </si>
  <si>
    <t>ШМС-и вазнин</t>
  </si>
  <si>
    <t>Иловаи HAIN тест барои намуди нав</t>
  </si>
  <si>
    <t>ТБ Асосӣ</t>
  </si>
  <si>
    <t>Гузариш ба шакли классикӣ</t>
  </si>
  <si>
    <t>Add DST Иловаи DST</t>
  </si>
  <si>
    <t>Муайянкунанда</t>
  </si>
  <si>
    <t>Ном</t>
  </si>
  <si>
    <t>Насаб</t>
  </si>
  <si>
    <t>Ҷинсият</t>
  </si>
  <si>
    <t>Бактериологӣ</t>
  </si>
  <si>
    <t>Дору</t>
  </si>
  <si>
    <t>Натиҷа</t>
  </si>
  <si>
    <t>Пок кардан</t>
  </si>
  <si>
    <t>Бекор Кардан</t>
  </si>
  <si>
    <t>Захира</t>
  </si>
  <si>
    <t>Шуд</t>
  </si>
  <si>
    <t>аз</t>
  </si>
  <si>
    <t>ба</t>
  </si>
  <si>
    <t>Пешакӣ</t>
  </si>
  <si>
    <t>Баъдӣ</t>
  </si>
  <si>
    <t>Аввал</t>
  </si>
  <si>
    <t>Миёна</t>
  </si>
  <si>
    <t>Охир</t>
  </si>
  <si>
    <t>Синну сол</t>
  </si>
  <si>
    <t>Гуруҳ</t>
  </si>
  <si>
    <t>\u041D\u043E\u043C\u0438\\ \u041C\u043E\u0434\u0430\u0440</t>
  </si>
  <si>
    <t>Рӯзи таваллуд</t>
  </si>
  <si>
    <t>Маркази Саломатӣ</t>
  </si>
  <si>
    <t>Пуршавӣ</t>
  </si>
  <si>
    <t>Усул</t>
  </si>
  <si>
    <t>Намуна ID</t>
  </si>
  <si>
    <t>Лаборатория</t>
  </si>
  <si>
    <t>Шарҳ</t>
  </si>
  <si>
    <t>Smear</t>
  </si>
  <si>
    <t>View Patient Lists</t>
  </si>
  <si>
    <t>Most Recent Smear</t>
  </si>
  <si>
    <t>No smear results for this patient</t>
  </si>
  <si>
    <t>Add Intake Visit</t>
  </si>
  <si>
    <t>Add Follow-up Visit</t>
  </si>
  <si>
    <t xml:space="preserve"> Transfer In</t>
  </si>
  <si>
    <t>Smear Status</t>
  </si>
  <si>
    <t>Please enter a validate year for this report</t>
  </si>
  <si>
    <t>Add HAIN</t>
  </si>
  <si>
    <t>HAIN</t>
  </si>
  <si>
    <t>HAINs</t>
  </si>
  <si>
    <t>ТБ03</t>
  </si>
  <si>
    <t xml:space="preserve"> Насаб, Ном</t>
  </si>
  <si>
    <t>ТБ03y</t>
  </si>
  <si>
    <t>Вилоят</t>
  </si>
  <si>
    <t xml:space="preserve"> ТБ03y берун</t>
  </si>
  <si>
    <t>mdrtb.tb03u.gender.male</t>
  </si>
  <si>
    <t>mdrtb.tb03u.gender.female</t>
  </si>
  <si>
    <t>Љойгиршавии Сил (Ш/ЃШ)</t>
  </si>
  <si>
    <t>Тест на ВИЧ</t>
  </si>
  <si>
    <t>санаи оѓози ТЗРВ табобат</t>
  </si>
  <si>
    <t>санаи оѓози ТПК табобат</t>
  </si>
  <si>
    <t>Намуди мутобиќат</t>
  </si>
  <si>
    <t>Натиљаи табобат</t>
  </si>
  <si>
    <t>санаи оѓози табобат</t>
  </si>
  <si>
    <t>Гурўњи ќайд</t>
  </si>
  <si>
    <t>Передача в заполнении, но без переноса</t>
  </si>
  <si>
    <t>Передача заполнена, но без переноса</t>
  </si>
  <si>
    <t>Diagnostic HAIN</t>
  </si>
  <si>
    <t>Most Recent HAIN</t>
  </si>
  <si>
    <t>No HAIN results for this patient</t>
  </si>
  <si>
    <t>Моҳи табобат</t>
  </si>
  <si>
    <t>рақами намуна</t>
  </si>
  <si>
    <t>Натиҷаи</t>
  </si>
  <si>
    <t>Санаи ҷамъоварии намуна</t>
  </si>
  <si>
    <t>Рӯйхати беморонро&lt;br/&gt;якҷоя кунед</t>
  </si>
  <si>
    <t>Год регистрации в ТБ03</t>
  </si>
  <si>
    <t>синну сол</t>
  </si>
  <si>
    <t>Истиќоматкунандаи</t>
  </si>
  <si>
    <t>Мансубияти иљтимої-касбї</t>
  </si>
  <si>
    <t>Мансубияти гурўњи ањолї</t>
  </si>
  <si>
    <t>Љои дарёфти бемор</t>
  </si>
  <si>
    <t>Санаи аввали мурољиат барои расонидани кўмаки тиббї</t>
  </si>
  <si>
    <t>Њолат ва усули дарёфти бемор (усули дарёфт)</t>
  </si>
  <si>
    <t>Усули дарёфт</t>
  </si>
  <si>
    <t>агар Сили шуш, намуд, љойгиршавї ва мављудияти мутобиќати доруњо</t>
  </si>
  <si>
    <t>агар Сили ѓайришушї , намуд, љойгиршавї ва мављудияти мутобиќати доруњо</t>
  </si>
  <si>
    <t>Маљудияти сурохшавї</t>
  </si>
  <si>
    <t>санаи муоина</t>
  </si>
  <si>
    <t>Сопутствующие заболевания</t>
  </si>
  <si>
    <t>диабети ќанд</t>
  </si>
  <si>
    <t>БМЃСШ</t>
  </si>
  <si>
    <t>фишорбаландї, БИД</t>
  </si>
  <si>
    <t>захми меъда ва рўдаи 12-ангушта</t>
  </si>
  <si>
    <t>бемории рўњї</t>
  </si>
  <si>
    <t>ТББ В20.9</t>
  </si>
  <si>
    <t>бемории саратон</t>
  </si>
  <si>
    <t>нест</t>
  </si>
  <si>
    <t>дигар</t>
  </si>
  <si>
    <t>Санаи тасдиќи ташхиси&lt;br/&gt;сил аз љониби КММТ</t>
  </si>
  <si>
    <t>Раќами КММТ</t>
  </si>
  <si>
    <t>Рељаи табобати таъингардида</t>
  </si>
  <si>
    <t>Санаи</t>
  </si>
  <si>
    <t>Нишон дода нашудааст</t>
  </si>
  <si>
    <t>бозгашт</t>
  </si>
  <si>
    <t>боз табобат</t>
  </si>
  <si>
    <t>интиқол дода мешавад</t>
  </si>
  <si>
    <t>Ҷамъоварӣ кунед</t>
  </si>
  <si>
    <t>беморон аз ҷониби Гурӯҳи бақайдгирӣ</t>
  </si>
  <si>
    <t>беморон аз ҷониби беморӣ</t>
  </si>
  <si>
    <t>Бемориҳои силсилаи публитсидҳо аз ҷониби Гурӯҳи бақайдгирӣ ва вазъи бактериологӣ</t>
  </si>
  <si>
    <t>Беморони бемориҳои MDR ё XDR</t>
  </si>
  <si>
    <t>Беморони бемориҳои MDR ё XDR бо табобат муваффақ</t>
  </si>
  <si>
    <t>Беморони бемориҳои MDR ё XDR на дар табобат</t>
  </si>
  <si>
    <t>занони синну соли кӯдакон</t>
  </si>
  <si>
    <t>мардони даъват ба даъват</t>
  </si>
  <si>
    <t>Беморон тавассути тафтишоти муоина муайян карда шуданд</t>
  </si>
  <si>
    <t>Бемориҳои бо диабети</t>
  </si>
  <si>
    <t>Ҳамаи беморон ба қайд гирифта шудаанд</t>
  </si>
  <si>
    <t>Дар барнома сабт кунед</t>
  </si>
  <si>
    <t>Номи духтур</t>
  </si>
  <si>
    <t>Чоп кунед</t>
  </si>
  <si>
    <t>Хайн-Тест1</t>
  </si>
  <si>
    <t>Хайн-Тест2</t>
  </si>
  <si>
    <t>санаи X-ray</t>
  </si>
  <si>
    <t>Заполнить ТБ03У</t>
  </si>
  <si>
    <t>ХАЙН - 1</t>
  </si>
  <si>
    <t>ХАЙН - 2</t>
  </si>
  <si>
    <t>Управление режимы</t>
  </si>
  <si>
    <t>ТБ03 берун (Хати ягона)</t>
  </si>
  <si>
    <t>Устойчивость</t>
  </si>
  <si>
    <t>Чувствительный</t>
  </si>
  <si>
    <t>???-?? ????? ???????, ??????? ?????? ??????? ??? ?? ? ?????</t>
  </si>
  <si>
    <t>???-?? ????? ???????, ??????? ?????? ??????? ??? ?? ? ????????????? ?????</t>
  </si>
  <si>
    <t>Учреждений</t>
  </si>
  <si>
    <t>дней в неделю</t>
  </si>
  <si>
    <t>Дата начала не может быть до даты заказа.</t>
  </si>
  <si>
    <t>Показать</t>
  </si>
  <si>
    <t>Регистрационный номер</t>
  </si>
  <si>
    <t>на(дд.мм.гггг)</t>
  </si>
  <si>
    <t>Медицинское учреждение</t>
  </si>
  <si>
    <t>Дата завершения не может быть до даты начала.</t>
  </si>
  <si>
    <t>{2} начато (дата) {1} в (время) {0}</t>
  </si>
  <si>
    <t>Не указано</t>
  </si>
  <si>
    <t>Дата начала</t>
  </si>
  <si>
    <t>Удалить данный образец?</t>
  </si>
  <si>
    <t>Дни до положительного результата</t>
  </si>
  <si>
    <t>Следующий</t>
  </si>
  <si>
    <t>Суббота</t>
  </si>
  <si>
    <t>Прямой/Косвенный</t>
  </si>
  <si>
    <t>Изенить схему лечения</t>
  </si>
  <si>
    <t>Мед.учреждение/Населенный пункт</t>
  </si>
  <si>
    <t>Ввод нового пациента</t>
  </si>
  <si>
    <t>Продолжено</t>
  </si>
  <si>
    <t>Дата смерти</t>
  </si>
  <si>
    <t>Семейство</t>
  </si>
  <si>
    <t>Причина изменения</t>
  </si>
  <si>
    <t>Результаты&lt;br&gt;бактериоскопии</t>
  </si>
  <si>
    <t>Укажите регистрационный номер и тип данного пациента.</t>
  </si>
  <si>
    <t>Предыдущий</t>
  </si>
  <si>
    <t>Месяц</t>
  </si>
  <si>
    <t>Дата рождения&lt;br&gt; волонтера</t>
  </si>
  <si>
    <t>Зарегистрирован как пациент МЛУ ТБ</t>
  </si>
  <si>
    <t>Колонии в контрольном образце</t>
  </si>
  <si>
    <t>Закрыть</t>
  </si>
  <si>
    <t>Август</t>
  </si>
  <si>
    <t>Лицо, проводящее лечение</t>
  </si>
  <si>
    <t>Частота дыхания</t>
  </si>
  <si>
    <t>Выбрать текущую схему лечения для изменения</t>
  </si>
  <si>
    <t>Сентябрь</t>
  </si>
  <si>
    <t>Просмотреть</t>
  </si>
  <si>
    <t xml:space="preserve">Дата сбора образца </t>
  </si>
  <si>
    <t>Прочее лечение</t>
  </si>
  <si>
    <t>Результаты тестирования лекарственной чувствительности (ТЛЧ)</t>
  </si>
  <si>
    <t>Внести данные о новом волонтере</t>
  </si>
  <si>
    <t>Лечение</t>
  </si>
  <si>
    <t>Примечания</t>
  </si>
  <si>
    <t>Загрязнение</t>
  </si>
  <si>
    <t>Декабрь</t>
  </si>
  <si>
    <t>Дата выписки не может быть в будущем.</t>
  </si>
  <si>
    <t>Нет результатов мазка для данного пациента</t>
  </si>
  <si>
    <t xml:space="preserve">\u041E\u0431\u0440\u0430\u0437\u0446\u044B \u0441 \u043F\u043E\u043B\u043E\u0436\u0438\u0442\u0435\u043B\u044C\u043D\u044B\u043C\u0438 \u0440\u0435\u0437\u0443\u043B\u044C\u0442\u0430\u0442\u0430\u043C\u0438 \u043F\u043E\u0441\u0435\u0432\u0430, \u043D\u043E \u0431\u0435\u0437 \u0440\u0435\u0437\u0443\u043B\u044C\u0442\u0430\u0442\u043E\u0432 \u0422\u041B\u0427 </t>
  </si>
  <si>
    <t>ТЛЧ</t>
  </si>
  <si>
    <t>Введите номер квартала</t>
  </si>
  <si>
    <t>Введите номер квартала или месяц</t>
  </si>
  <si>
    <t>Укажите препарат</t>
  </si>
  <si>
    <t>Дата окончания</t>
  </si>
  <si>
    <t>Изменить адрес</t>
  </si>
  <si>
    <t>mdrtb.нажмите</t>
  </si>
  <si>
    <t xml:space="preserve">на кнопку ниже и продолжайте регистрацию. </t>
  </si>
  <si>
    <t>\u0412 \u043D\u0430\u0441\u0442\u043E\u044F\u0449\uFFFD\uFFFD\u0439 \u043C\u043E\u043C\u0435\u043D\u0442 \u043D\u0435 \u043F\u043E\u043B\u0443\u0447\u0430\u0435\u0442</t>
  </si>
  <si>
    <t>Положительный</t>
  </si>
  <si>
    <t>Удалить</t>
  </si>
  <si>
    <t>Дата последнего забора образцов</t>
  </si>
  <si>
    <t xml:space="preserve">\u0422\u0435\u043A\u0443\u0449\u0430\u044F \u0441\u0445\u0435\u043C\u0430 \u043B\u0435\u0447\u0435\u043D\u0438\u044F </t>
  </si>
  <si>
    <t>Удалить данный анализ?</t>
  </si>
  <si>
    <t>Группа регистрации</t>
  </si>
  <si>
    <t>Добавить ТБ03</t>
  </si>
  <si>
    <t>Перевод из</t>
  </si>
  <si>
    <t>Перевод в</t>
  </si>
  <si>
    <t>Дата завершения</t>
  </si>
  <si>
    <t>Частота</t>
  </si>
  <si>
    <t>mdrtb.scheduledStopDate</t>
  </si>
  <si>
    <t>Плановая дата остановки</t>
  </si>
  <si>
    <t>Данные пациента</t>
  </si>
  <si>
    <t>Добавить новую программу МЛУ ТБ</t>
  </si>
  <si>
    <t>Сохранить</t>
  </si>
  <si>
    <t>Удалить лицо, назначенное&lt;br&gt;волонтером</t>
  </si>
  <si>
    <t xml:space="preserve">\u0422\u0435\u043A\u0443\u0449\u0430\u044F \u043F\u0440\u043E\u0433\u0440\u0430\u043C\u043C\u0430 \u041C\u041B\u0423 \u0422\u0411, \u043D\u0430\u0447\u0430\u0442\u0430\u044F </t>
  </si>
  <si>
    <t>Базовая</t>
  </si>
  <si>
    <t>Новый</t>
  </si>
  <si>
    <t>Введите имя и личные данные для нового пациента.</t>
  </si>
  <si>
    <t>Укажите дату начала</t>
  </si>
  <si>
    <t>Дозировка</t>
  </si>
  <si>
    <t>Укажите исход.</t>
  </si>
  <si>
    <t>Тип пациента</t>
  </si>
  <si>
    <t>Вторник</t>
  </si>
  <si>
    <t>Проверить значение артериального давления.</t>
  </si>
  <si>
    <t>Дата госпитализации не может быть в будущем.</t>
  </si>
  <si>
    <t>Все</t>
  </si>
  <si>
    <t>Регистрационный номер контактного лица</t>
  </si>
  <si>
    <t>Фамилия</t>
  </si>
  <si>
    <t>Включить в программу МЛУ ТБ</t>
  </si>
  <si>
    <t>Лечение ВИЧ</t>
  </si>
  <si>
    <t>Результаты лабораторных исследований</t>
  </si>
  <si>
    <t>Обзор</t>
  </si>
  <si>
    <t>Назначение препаратов</t>
  </si>
  <si>
    <t>Дата назначения не может быть в будущем.</t>
  </si>
  <si>
    <t>Удалить данную информацию?</t>
  </si>
  <si>
    <t>Февраль</t>
  </si>
  <si>
    <t>Статус госпитализации</t>
  </si>
  <si>
    <t>Проверить даты госпитализации.</t>
  </si>
  <si>
    <t>Причина смерти</t>
  </si>
  <si>
    <t>{0} на (дата) {1}, анализ проведен (время) {2}</t>
  </si>
  <si>
    <t>Диагноз МЛУ ТБ</t>
  </si>
  <si>
    <t>Распределение пациентов по устойчивости</t>
  </si>
  <si>
    <t>Дата последнего наблюдения</t>
  </si>
  <si>
    <t>Диагностика, лечение и наблюдение больных с МЛУ ТБ</t>
  </si>
  <si>
    <t>Укажите дату госпитализации.</t>
  </si>
  <si>
    <t>Завершить</t>
  </si>
  <si>
    <t>Укажите дату регистрации.</t>
  </si>
  <si>
    <t>Отчет показателей по МЛУ ТБ</t>
  </si>
  <si>
    <t>Найти пациента</t>
  </si>
  <si>
    <t>Дата выписки</t>
  </si>
  <si>
    <t>Данные по результатам анализов или курсу лечения для программы данного пациента отсутствуют.</t>
  </si>
  <si>
    <t>Текущая схема лечения ТБ</t>
  </si>
  <si>
    <t>Изменение текущего назначения препаратов</t>
  </si>
  <si>
    <t>Текущая схема лечения ВИЧ</t>
  </si>
  <si>
    <t>\u0414\u043E\u0431\u0430\u0432\u0438\u0442\u044C \u0440\u0435\u0437\u0443\u043B\u044C\u0442\u0430\u0442\u044B \u0434\u043B\u044F \u043D\u043E\u0432\u043E\u0433\u043E \u043E\u0431\u0440\u0430\u0437\u0446\u0430(\u043E\u0432)</t>
  </si>
  <si>
    <t>Четверг</t>
  </si>
  <si>
    <t>Номер лабораторного анализа</t>
  </si>
  <si>
    <t>Экспортировать в Excel</t>
  </si>
  <si>
    <t>\u0414\u0430\u0442\u0430 \u0430\u043D\u0430\u043B\u0438\u0437\u0430</t>
  </si>
  <si>
    <t>Отчеты</t>
  </si>
  <si>
    <t xml:space="preserve">\u041D\u0435\u0432\u043E\u0437\u043C\u043E\u0436\u043D\u043E \u043E\u0431\u043D\u043E\u0432\u0438\u0442\u044C \u0430\u0434\u0440\u0435\u0441\: \u0441\u0431\u043E\u0439 DWR, \u043F\u0440\u043E\u0432\u0435\u0440\u044C\u0442\u0435 \u0436\u0443\u0440\u043D\u0430\u043B\u044B \u0441\u043E\u0431\u044B\u0442\u0438\u0439 </t>
  </si>
  <si>
    <t xml:space="preserve">\u041F\u0440\u0435\u043F\u0430\u0440\u0430\u0442\u044B \u043D\u0435 \u0441\u043E\u043E\u0442\u0432\u0435\u0442\u0441\u0442\u0432\u0443\u044E\u0442 \u0440\u0435\u0437\u0443\u043B\u044C\u0442\u0430\u0442\u0430\u043C \u0422\u041B\u0427 </t>
  </si>
  <si>
    <t>Завершено (дата) {1} в (время) {0}</t>
  </si>
  <si>
    <t>Воскресенье</t>
  </si>
  <si>
    <t>Форма 08у ВОЗ</t>
  </si>
  <si>
    <t xml:space="preserve">\u0417\u0430\u0432\u0435\u0440\u0448\u0435\u043D\u043D\u044B\u0435 \u043F\u0440\u0435\u043F\u0430\u0440\u0430\u0442\u044B </t>
  </si>
  <si>
    <t>Годовой отчет результатов лечения больных МЛУ начавших лечение по IV категории</t>
  </si>
  <si>
    <t>Статус Бактериоскопия</t>
  </si>
  <si>
    <t>Главная страница ТБ</t>
  </si>
  <si>
    <t>Отмена</t>
  </si>
  <si>
    <t>Неполные результаты лабораторных исследований, необходимо дополнить</t>
  </si>
  <si>
    <t>Возраст</t>
  </si>
  <si>
    <t>Выборочно</t>
  </si>
  <si>
    <t>Дата начала лечения</t>
  </si>
  <si>
    <t>Проверить значение веса.</t>
  </si>
  <si>
    <t>???-?? ??????????????????? ????????? ??? ?? ? ?????</t>
  </si>
  <si>
    <t>Заказа препаратов на данную дату не существует</t>
  </si>
  <si>
    <t>Отчет по исходам лечения пациентов категории IV, которые начали лечение в указанный период времени</t>
  </si>
  <si>
    <t>Инструкции</t>
  </si>
  <si>
    <t>Показать образцы, исследованные в</t>
  </si>
  <si>
    <t>Концентрация</t>
  </si>
  <si>
    <t>в</t>
  </si>
  <si>
    <t>Тип</t>
  </si>
  <si>
    <t xml:space="preserve">\u0423\u0436\u0435 \u0435\u0441\u0442\u044C \u043F\u0430\u0446\u0438\u0435\u043D\u0442\u044B, \u0434\u0430\u043D\u043D\u044B\u0435 \u043A\u043E\u0442\u043E\u0440\u044B\u0445 \u0441\u0445\u043E\u0436\u0438 \u0441 \u043F\u0430\u0446\u0438\u0435\u043D\u0442\u043E\u043C, \u043A\u043E\u0442\u043E\u0440\u043E\u0433\u043E \u0432\u044B \u0440\u0435\u0433\u0438\u0441\u0442\u0440\u0438\u0440\u0443\u0435\u0442\u0435. \u0415\u0441\u043B\u0438 \u043F\u0430\u0446\u0438\u0435\u043D\u0442, \u043A\u043E\u0442\u043E\u0440\u043E\u0433\u043E \u0432\u044B \u0440\u0435\u0433\u0438\u0441\u0442\u0440\u0438\u0440\u0443\u0435\u0442\u0435, \u0443\u0436\u0435 \u0437\u0430\u0440\u0435\u0433\u0438\u0441\u0442\u0440\u0438\u0440\u043E\u0432\u0430\u043D, \u0442\u043E \u043D\u0435\u043E\u0431\u0445\u043E\u0434\u0438\u043C\u043E \u0432\u044B\u0431\u0440\u0430\u0442\u044C \u0435\u0433\u043E \u0438\u0437 \u0441\u043F\u0438\u0441\u043A\u0430, \u043F\u0440\u0435\u0434\u0441\u0442\u0430\u0432\u043B\u0435\u043D\u043D\u043E\u0433\u043E \u043D\u0438\u0436\u0435. </t>
  </si>
  <si>
    <t>Дата начала не может быть в будущем.</t>
  </si>
  <si>
    <t>Пол</t>
  </si>
  <si>
    <t>Регистрационный номер пациента</t>
  </si>
  <si>
    <t>МЛУ ТБ</t>
  </si>
  <si>
    <t>Препарат</t>
  </si>
  <si>
    <t>Без изменений</t>
  </si>
  <si>
    <t>Колонии</t>
  </si>
  <si>
    <t>Списки пациентов</t>
  </si>
  <si>
    <t>mdrtb.данного</t>
  </si>
  <si>
    <t>пациента.</t>
  </si>
  <si>
    <t xml:space="preserve">\u041E\u0442\u0447\u0435\u0441\u0442\u0432\u043E </t>
  </si>
  <si>
    <t>Перейти к классическому виду</t>
  </si>
  <si>
    <t>Добавить результаты микроскопии нового образца</t>
  </si>
  <si>
    <t>Является пациентом?</t>
  </si>
  <si>
    <t>Адрес 2</t>
  </si>
  <si>
    <t xml:space="preserve">\u0410\u0434\u0440\u0435\u0441 </t>
  </si>
  <si>
    <t>Добавить образец</t>
  </si>
  <si>
    <t>Отчет по исходу лечения</t>
  </si>
  <si>
    <t>Январь</t>
  </si>
  <si>
    <t>Форма 10у ВОЗ</t>
  </si>
  <si>
    <t>Добавить новое контактное лицо</t>
  </si>
  <si>
    <t>Командные файлы</t>
  </si>
  <si>
    <t>Форма 07у ВОЗ</t>
  </si>
  <si>
    <t>Бактериологический статус</t>
  </si>
  <si>
    <t xml:space="preserve">\u0412\u044B\u0431\u0440\u0430\u0442\u044C \u043F\u0430\u0446\u0438\u0435\u043D\u0442\u043E\u0432 \u0434\u043B\u044F \u043E\u0442\u043E\u0431\u0440\u0430\u0436\u0435\u043D\u0438\u044F </t>
  </si>
  <si>
    <t>Мужчина</t>
  </si>
  <si>
    <t>Последний уровень CD4</t>
  </si>
  <si>
    <t>Имя</t>
  </si>
  <si>
    <t>Готово</t>
  </si>
  <si>
    <t>Зарегистрировать в программе</t>
  </si>
  <si>
    <t>Женщина</t>
  </si>
  <si>
    <t>Кем приходится пациенту</t>
  </si>
  <si>
    <t>Пульс</t>
  </si>
  <si>
    <t>Бактериоскопия</t>
  </si>
  <si>
    <t>Изменить данные по госпитализации</t>
  </si>
  <si>
    <t>Дата получения не может быть до даты заказа.</t>
  </si>
  <si>
    <t>{2} получено {0} в {1}</t>
  </si>
  <si>
    <t>Да</t>
  </si>
  <si>
    <t>Добавить результат микроскопии для нового образца</t>
  </si>
  <si>
    <t>Назначить новый курс лечения</t>
  </si>
  <si>
    <t>Монорезистентный ТБ</t>
  </si>
  <si>
    <t>{0} в {1}</t>
  </si>
  <si>
    <t xml:space="preserve">Последняя бактериоскопия мокроты </t>
  </si>
  <si>
    <t>Лечение ТБ</t>
  </si>
  <si>
    <t>Прервать</t>
  </si>
  <si>
    <t>Укажите место регистрации пациента.</t>
  </si>
  <si>
    <t>Текущее назначение препаратов</t>
  </si>
  <si>
    <t>Укажите лабораторию.</t>
  </si>
  <si>
    <t>Добавить Форма 89</t>
  </si>
  <si>
    <t>Укажите расположение.</t>
  </si>
  <si>
    <t>Систолическое артериальное давление</t>
  </si>
  <si>
    <t>Изменить настройки</t>
  </si>
  <si>
    <t>Месяц (не обязательно)</t>
  </si>
  <si>
    <t>Антиретровирусная терапия</t>
  </si>
  <si>
    <t>\uFFFD\uFFFD\u043C\u0435\u0440\u0448\u0438\u0439</t>
  </si>
  <si>
    <t>№ лаб.&lt;br&gt;иссл.</t>
  </si>
  <si>
    <t>Полное имя</t>
  </si>
  <si>
    <t>Статус программы лечения пациента</t>
  </si>
  <si>
    <t>Образец</t>
  </si>
  <si>
    <t>Когда-либо зарегистрирован</t>
  </si>
  <si>
    <t>Получено {0} в {1}</t>
  </si>
  <si>
    <t>Год</t>
  </si>
  <si>
    <t xml:space="preserve">\u041E\u0441\u0442\u0430\u043D\u043E\u0432\u0438\u0442\u044C </t>
  </si>
  <si>
    <t xml:space="preserve">\u041E\u0431\u0440\u0430\u0437\u0446\u044B </t>
  </si>
  <si>
    <t>Добавить новый образец</t>
  </si>
  <si>
    <t>тип</t>
  </si>
  <si>
    <t xml:space="preserve">\u041F\u0440\u043E\u0441\u043C\u043E\u0442\u0440\u0435\u0442\u044C \u0441\u0445\u0435\u043C\u0443 \u043B\u0435\u0447\u0435\u043D\u0438\u044F </t>
  </si>
  <si>
    <t xml:space="preserve">\u0420\u0435\u0437\u0443\u043B\u044C\u0442\u0430\u0442\u044B \u043F\u043E\u0441\u0435\u0432\u0430 \u0434\u043B\u044F \u0434\u0430\u043D\u043D\u043E\u0433\u043E \u043F\u0430\u0446\u0438\u0435\u043D\u0442\u0430 \u043E\u0442\u0441\u0443\u0442\u0441\u0442\u0432\u0443\u044E\u0442 </t>
  </si>
  <si>
    <t>Текущие пациенты с МЛУ ТБ</t>
  </si>
  <si>
    <t>Пациента в списке нет. Ввести его как нового пациента.</t>
  </si>
  <si>
    <t>Дата начала не может быть до даты получения.</t>
  </si>
  <si>
    <t>Причина прекращения</t>
  </si>
  <si>
    <t>Мед.учреждение/Населенный пункт проживания волонтера</t>
  </si>
  <si>
    <t>Тип начального курса лечения ТБ</t>
  </si>
  <si>
    <t>?????????? ???????? ????????\: ???? DWR, ????????? ??????? ???????</t>
  </si>
  <si>
    <t>Поддерживающая фаза (KM + Z + OFX + PTO + CS)</t>
  </si>
  <si>
    <t>Внелегочной</t>
  </si>
  <si>
    <t>Добавить препарат</t>
  </si>
  <si>
    <t>Дата получения образца</t>
  </si>
  <si>
    <t xml:space="preserve">\u0418\u0437\u043C\u0435\u043D\u0438\u0442\u044C \u0434\u0430\u043D\u043D\u044B\u0435 \u043F\u043E \u0434\u0430\u043D\u043D\u043E\u043C\u0443 \u043A\u043E\u043D\u0442\u0430\u043A\u0442\u043D\u043E\u043C\u0443 \u043B\u0438\u0446\u0443 </t>
  </si>
  <si>
    <t>результат предыдущего лечения</t>
  </si>
  <si>
    <t xml:space="preserve">\u041C\u0435\u0441\u0442\u043E \u0437\u0430\u0431\u043E\u0440\u0430 </t>
  </si>
  <si>
    <t>Заказано на {1} из {0}</t>
  </si>
  <si>
    <t>Текущий</t>
  </si>
  <si>
    <t xml:space="preserve">\u0418\u0437\u043C\u0435\u043D\u0438\u0442\u044C </t>
  </si>
  <si>
    <t>Список МЛУ ТБ пациентов</t>
  </si>
  <si>
    <t>Список ДОТС пациентов</t>
  </si>
  <si>
    <t>Апрель</t>
  </si>
  <si>
    <t>Дата завершения не может быть в будущем.</t>
  </si>
  <si>
    <t>mdrtb.unit</t>
  </si>
  <si>
    <t>Ед.изм.</t>
  </si>
  <si>
    <t>Добавить ТЛЧ</t>
  </si>
  <si>
    <t>Введите значение года для этого отчета</t>
  </si>
  <si>
    <t>Дата включения не может быть в будущем.</t>
  </si>
  <si>
    <t>Добавить</t>
  </si>
  <si>
    <t>Выполнить</t>
  </si>
  <si>
    <t>Результаты последних анализов</t>
  </si>
  <si>
    <t>Отчет по устойчивости к ПТП</t>
  </si>
  <si>
    <t>Кол-во больных, по которым подведен итог по результатам лечения МЛУ ТБ в течение месяца</t>
  </si>
  <si>
    <t>Кол-во больных с неудачей лечения МЛУ ТБ</t>
  </si>
  <si>
    <t>???\:</t>
  </si>
  <si>
    <t xml:space="preserve">\u041A\u043E\u043B-\u0432\u043E \u0431\u043E\u043B\u044C\u043D\u044B\u0445, \u0443\u0441\u043F\u0435\u0448\u043D\u043E \u0437\u0430\u0432\u0435\u0440\u0448\u0438\u0432\u0448\u0438\u0445 \u043B\u0435\u0447\u0435\u043D\u0438\u0435 \u041C\u041B\u0423 \u0422\u0411 </t>
  </si>
  <si>
    <t xml:space="preserve">\u041A\u043E\u043B-\u0432\u043E \u0431\u043E\u043B\u044C\u043D\u044B\u0445 \u0441 \u043E\u0442\u0440\u0438\u0446\u0430\u0442\u0435\u043B\u044C\u043D\u044B\u043C\u0438 \u043A\u043E\u043D\u0442\u0440\u043E\u043B\u044C\u043D\u044B\u043C\u0438 \u043F\u043E\u0441\u0435\u0432\u0430\u043C\u0438 </t>
  </si>
  <si>
    <t>Тип текущей схемы лечения ТБ</t>
  </si>
  <si>
    <t xml:space="preserve">\u041A\u043E\u043B-\u0432\u043E \u0431\u043E\u043B\u044C\u043D\u044B\u0445 \u0441 \u043F\u043E\u043B\u043E\u0436\u0438\u0442\u0435\u043B\u044C\u043D\u044B\u043C\u0438 \u043A\u043E\u043D\u0442\u0440\u043E\u043B\u044C\u043D\u044B\u043C\u0438 \u043F\u043E\u0441\u0435\u0432\u0430\u043C\u0438 </t>
  </si>
  <si>
    <t>Примечание</t>
  </si>
  <si>
    <t xml:space="preserve">\u041A\u043E\u043B-\u0432\u043E \u0431\u043E\u043B\u044C\u043D\u044B\u0445 \u0441 \u0441\u043E\u0447\u0435\u0442\u0430\u043D\u043D\u043E\u0439 \u0438\u043D\u0444\u0435\u043A\u0446\u0438\u0435\u0439 \u041C\u041B\u0423 \u0422\u0411 \u0438 \u0412\u0418\u0427 </t>
  </si>
  <si>
    <t>Март</t>
  </si>
  <si>
    <t xml:space="preserve">\u041A\u043E\u043B-\u0432\u043E \u0431\u043E\u043B\u044C\u043D\u044B\u0445, \u043E\u0436\u0438\u0434\u0430\u044E\u0449\u0438\u0445 \u0440\u0435\u0437\u0443\u043B\u044C\u0442\u0430\u0442\u0430 \u043F\u043E\u0441\u0435\u0432\u0430 </t>
  </si>
  <si>
    <t>Обязательно</t>
  </si>
  <si>
    <t xml:space="preserve">\u041A\u043E\u043B-\u0432\u043E \u0431\u043E\u043B\u044C\u043D\u044B\u0445, \u043F\u043E\u043B\u0443\u0447\u0430\u044E\u0449\u0438\u0445 \u043B\u0435\u0447\u0435\u043D\u0438\u0435 \u0432\u043D\u0435 \u0441\u0442\u0430\u0446\u0438\u043E\u043D\u0430\u0440\u0430 </t>
  </si>
  <si>
    <t xml:space="preserve">\u041A\u043E\u043B-\u0432\u043E \u043F\u0435\u0440\u0432\u0438\u0447\u043D\u044B\u0445 \u0431\u043E\u043B\u044C\u043D\u044B\u0445 \u0441 \u0430\u043D\u0430\u043B\u0438\u0437\u0430\u043C\u0438, \u043F\u043E\u0434\u0442\u0432\u0435\u0440\u0436\u0434\u0430\u044E\u0449\u0438\u043C\u0438 \u043B\u0435\u043A\u0430\u0440\u0441\u0442\u0432\u0435\u043D\u043D\u0443\u044E \u0443\u0441\u0442\u043E\u0439\u0447\u0438\u0432\u043E\u0441\u0442\u044C </t>
  </si>
  <si>
    <t xml:space="preserve">\u0422\u0438\u043F \u0438\u0434\u0435\u043D\u0442\u0438\u0444\u0438\u043A\u0430\u0442\u043E\u0440\u0430 </t>
  </si>
  <si>
    <t>изменения на</t>
  </si>
  <si>
    <t>Просмотреть данные пациента МЛУ ТБ</t>
  </si>
  <si>
    <t>Продолжительность</t>
  </si>
  <si>
    <t>Начальный курс лечения ТБ</t>
  </si>
  <si>
    <t>Июнь</t>
  </si>
  <si>
    <t>Июль</t>
  </si>
  <si>
    <t>Тип резистентности</t>
  </si>
  <si>
    <t>Ранее зарегистрирован</t>
  </si>
  <si>
    <t>Сформировать отчет</t>
  </si>
  <si>
    <t>дата</t>
  </si>
  <si>
    <t>Зарегистрировать</t>
  </si>
  <si>
    <t>Удалить этот курс лечения?</t>
  </si>
  <si>
    <t>Назад</t>
  </si>
  <si>
    <t>ШЛИ ТБ</t>
  </si>
  <si>
    <t>{0} на {1}</t>
  </si>
  <si>
    <t>Дата завершения лечения</t>
  </si>
  <si>
    <t>Место регистрации</t>
  </si>
  <si>
    <t>Введите имя</t>
  </si>
  <si>
    <t>Удалить информацию о данном посещении?</t>
  </si>
  <si>
    <t>Cобран</t>
  </si>
  <si>
    <t>Образцы с положительным результатом мазка, но без результатов посева</t>
  </si>
  <si>
    <t>Май</t>
  </si>
  <si>
    <t>Населенный пункт</t>
  </si>
  <si>
    <t>Город</t>
  </si>
  <si>
    <t>Ожидаются результаты лаб. исследований</t>
  </si>
  <si>
    <t>Среда</t>
  </si>
  <si>
    <t>Плановые посещения с целью наблюдения</t>
  </si>
  <si>
    <t>\u0414\u0430\u0442\u0430 \u0437\u0430\u0432\u0435\u0440\u0448\u0435\u043D\u0438\u044F \u043D\u0435 \u043C\u043E\u0436\u0435\uFFFD\uFFFD \u0431\u044B\u0442\u044C \u0440\u0430\u043D\u044C\u0448\u0435 \u0434\u0430\u0442\u044B \u0437\u0430\u043A\u0430\u0437\u0430.</t>
  </si>
  <si>
    <t>\u0414\u0430\u0442\u0430 \u0432\u044B\u043F\u0438\u0441\u043A\u0438 \u043D\u0435 \u043C\u043E\u0436\uFFFD\uFFFD\u0442 \u0431\u044B\u0442\u044C \u0440\u0430\u043D\u044C\u0448\u0435 \u0434\u0430\u0442\u044B \u0433\u043E\u0441\u043F\u0438\u0442\u0430\u043B\u0438\u0437\u0430\u0446\u0438\u0438.</t>
  </si>
  <si>
    <t>Косвенный</t>
  </si>
  <si>
    <t xml:space="preserve">\u0423\u0434\u0430\u043B\u0438\u0442\u044C </t>
  </si>
  <si>
    <t>Район - Регион</t>
  </si>
  <si>
    <t>{0} с неизвестным статусом</t>
  </si>
  <si>
    <t>Ноябрь</t>
  </si>
  <si>
    <t>Добавить новый анализ</t>
  </si>
  <si>
    <t>Укажите причину прерывания.</t>
  </si>
  <si>
    <t>Пациенты с МЛУ ТБ</t>
  </si>
  <si>
    <t>Действия</t>
  </si>
  <si>
    <t>Поддерживающая фаза плюс Z (OFX + PTO + CS + Z)</t>
  </si>
  <si>
    <t xml:space="preserve">\u0414\u0438\u0430\u0433\u043D\u043E\u0441\u0442\u0438\u0447\u0435\u0441\u043A\u0438\u0439 \u043F\u043E\u0441\u0435\u0432 </t>
  </si>
  <si>
    <t>Завершено</t>
  </si>
  <si>
    <t xml:space="preserve">\u041B\u0435\u0433\u043E\u0447\u043D\u043E\u0439 </t>
  </si>
  <si>
    <t>Тип начального лечения</t>
  </si>
  <si>
    <t xml:space="preserve">\u0434\u043D\u0435\u0439, \u043D\u043E \u0431\u0435\u0437 \u0440\u0435\u0437\u0443\u043B\u044C\u0442\u0430\u0442\u043E\u0432 \u0422\u041B\u0427 </t>
  </si>
  <si>
    <t>Мед.учреждение/&lt;Br&gt;Населенный пункт проживания волонтера</t>
  </si>
  <si>
    <t xml:space="preserve">\u041F\u043E\u043A\u0430\u0437\u0430\u0442\u044C \u043E\u0431\u0440\u0430\u0437\u0446\u044B \u0441 \u043F\u043E\u043B\u043E\u0436\u0438\u0442\u0435\u043B\u044C\u043D\u044B\u043C \u0440\u0435\u0437\u0443\u043B\u044C\u0442\u0430\u0442\u0430\u043C\u0438 \u043F\u043E\u0441\u0435\u0432\u0430 \u0431\u043E\u043B\u0435\u0435 \u0447\u0435\u043C </t>
  </si>
  <si>
    <t xml:space="preserve">\u0422\u0438\u043F \u043E\u0431\u0440\u0430\u0437\u0446\u0430 </t>
  </si>
  <si>
    <t>Пациент</t>
  </si>
  <si>
    <t>Укажите дату смерти пациента.</t>
  </si>
  <si>
    <t>mdrtb.дату</t>
  </si>
  <si>
    <t>забора.</t>
  </si>
  <si>
    <t>Начало стандартной схемы лечения</t>
  </si>
  <si>
    <t>Изменение типа лечения</t>
  </si>
  <si>
    <t>Простая форма</t>
  </si>
  <si>
    <t>Анализ потребности в препаратах</t>
  </si>
  <si>
    <t>Укажите форму для заполнения</t>
  </si>
  <si>
    <t>Выбрать тип отношения</t>
  </si>
  <si>
    <t>Начато</t>
  </si>
  <si>
    <t>Квартал (не обязательно)</t>
  </si>
  <si>
    <t>Укажите дату завершения.</t>
  </si>
  <si>
    <t>Добавить результат анализа</t>
  </si>
  <si>
    <t>Посев</t>
  </si>
  <si>
    <t>Проверить значение температуры.</t>
  </si>
  <si>
    <t>Дата</t>
  </si>
  <si>
    <t>Предварительный просмотр</t>
  </si>
  <si>
    <t>Перевести это контактное лицо в пациенты</t>
  </si>
  <si>
    <t>\u041E\u0446\u0435\u043D\u043A\u0430 \u043F\u0440\u0435\u0434\u0432\u0430\u0440\u0438\u0442\u0435\u043B\u044C\u043D\u044B\u0445 \u0440\u0435\u0437\u0443\u043B\u044C\u0442\u0430\u0442\u043E\u0432 \u043A\u043E\u043D\u0432\uFFFD\uFFFD\u0440\u0441\u0438\u0438 \u043F\u043E\u0434\u0442\u0432\u0435\u0440\u0436\u0434\u0435\u043D\u043D\u044B\u0445 \u0441\u043B\u0443\u0447\u0430\u0435\u0432 \u041C\u041B\u0423 \u0422\u0411</t>
  </si>
  <si>
    <t>Пятница</t>
  </si>
  <si>
    <t>Укажите причину.</t>
  </si>
  <si>
    <t xml:space="preserve">\u0412\u0432\u0435\u0434\u0438\u0442\u0435 \u0444\u0430\u043C\u0438\u043B\u0438\u044E </t>
  </si>
  <si>
    <t>Дата рождения</t>
  </si>
  <si>
    <t>Подробная</t>
  </si>
  <si>
    <t>Не завершен</t>
  </si>
  <si>
    <t>\u0412\u044B\u0431\u0440\u0430\u0442\u044C \uFFFD\uFFFD\u043D\u0444\u043E\u0440\u043C\u0430\u0446\u0438\u044E \u0434\u043B\u044F \u043E\u0442\u043E\u0431\u0440\u0430\u0436\u0435\u043D\u0438\u044F</t>
  </si>
  <si>
    <t>Дата забора не может быть в будущем времени.</t>
  </si>
  <si>
    <t>Укажите лицо, проводящее лечение.</t>
  </si>
  <si>
    <t>Загрузка</t>
  </si>
  <si>
    <t xml:space="preserve">\u0414\u0430\u0442\u0430 \u0437\u0430\u0431\u043E\u0440\u0430 \u043D\u0435 \u0441\u043E\u043E\u0442\u0432\u0435\u0442\u0441\u0442\u0432\u0443\u0435\u0442 \u0434\u0430\u0442\u0435 \u0440\u0435\u0433\u0438\u0441\u0442\u0440\u0430\u0446\u0438\u0438 \u043F\u0430\u0446\u0438\u0435\u043D\u0442\u0430 \u041C\u041B\u0423 \u0422\u0411. \u041F\u0440\u043E\u0432\u0435\u0440\u0438\u0442\u044C </t>
  </si>
  <si>
    <t>Похожие пациенты</t>
  </si>
  <si>
    <t>Дата госпитализации&lt;br&gt;в стационар</t>
  </si>
  <si>
    <t>ВИЧ статус</t>
  </si>
  <si>
    <t>Подтверждено</t>
  </si>
  <si>
    <t>Программа МЛУ ТБ с</t>
  </si>
  <si>
    <t>Внешний вид</t>
  </si>
  <si>
    <t>Изменить данный анализ</t>
  </si>
  <si>
    <t>Проведенные&lt;br&gt;исследования</t>
  </si>
  <si>
    <t xml:space="preserve">\u0414\u0430\u043D\u043D\u0430\u044F \u043F\u0440\u043E\u0433\u0440\u0430\u043C\u043C\u0430 \u0441\u043E\u0432\u043F\u0430\u0434\u0430\u0435\u0442 \u0441 \u0443\u0436\u0435 \u0441\u0443\u0449\u0435\u0441\u0442\u0432\u0443\u044E\u0449\u0435\u0439 \u0440\u0435\u0433\u0438\u0441\u0442\u0440\u0430\u0446\u0438\u0435\u0439 \u0432 \u043F\u0440\u043E\u0433\u0440\u0430\u043C\u043C\u0435 \u043B\u0435\u0447\u0435\u043D\u0438\u044F \u041C\u041B\u0423 \u0422\u0411 \u0434\u043B\u044F </t>
  </si>
  <si>
    <t xml:space="preserve">\u0414\u0430\u0442\u0430 \u0438\u0437\u043C\u0435\u043D\u0435\u043D\u0438\u044F </t>
  </si>
  <si>
    <t>mdrtb.cohortBuilder</t>
  </si>
  <si>
    <t>Создание групп пациентов</t>
  </si>
  <si>
    <t>или</t>
  </si>
  <si>
    <t>Кол-во микобактерий</t>
  </si>
  <si>
    <t xml:space="preserve"> Форма 89</t>
  </si>
  <si>
    <t>Образцы без результатов исследования</t>
  </si>
  <si>
    <t>Следующее плановое наблюдение</t>
  </si>
  <si>
    <t>Телефон</t>
  </si>
  <si>
    <t>Устойчивость к</t>
  </si>
  <si>
    <t>из</t>
  </si>
  <si>
    <t>mdrtb.включения.</t>
  </si>
  <si>
    <t>Формат вывода</t>
  </si>
  <si>
    <t>Состав</t>
  </si>
  <si>
    <t>Дата получения не может быть в будущем.</t>
  </si>
  <si>
    <t xml:space="preserve">\u0411\u0443\u0434\u0435\u0442 \u043F\u0440\u0438\u0441\u0432\u043E\u0435\u043D\u043E \u0430\u0432\u0442\u043E\u043C\u0430\u0442\u0438\u0447\u0435\u0441\u043A\u0438 </t>
  </si>
  <si>
    <t>Исход</t>
  </si>
  <si>
    <t>В настоящий момент зарегистрирован</t>
  </si>
  <si>
    <t>Фторхинолоны</t>
  </si>
  <si>
    <t>Новые заказы для начала</t>
  </si>
  <si>
    <t>(Успешно обновлено)</t>
  </si>
  <si>
    <t>Ежеквартальный отчет по выявлению МЛУ ТБ и начала лечения IV категории</t>
  </si>
  <si>
    <t>Назначение ПТП</t>
  </si>
  <si>
    <t>Нет</t>
  </si>
  <si>
    <t>В настоящий момент получает</t>
  </si>
  <si>
    <t>Незакодированный Тип Организма</t>
  </si>
  <si>
    <t>Включен ли в программу лечения МЛУ ТБ?</t>
  </si>
  <si>
    <t xml:space="preserve">\u041D\u0435 \u043E\u0431\u043D\u0430\u0440\u0443\u0436\u0435\u043D\u044B \u0440\u0435\u0437\u0443\u043B\u044C\u0442\u0430\u0442\u044B \u0434\u043B\u044F </t>
  </si>
  <si>
    <t>Пациенты по назначаемым препаратам</t>
  </si>
  <si>
    <t>Расположение</t>
  </si>
  <si>
    <t>Температура</t>
  </si>
  <si>
    <t>Укажите дату посещения.</t>
  </si>
  <si>
    <t>Курс лечения</t>
  </si>
  <si>
    <t>в неделю</t>
  </si>
  <si>
    <t>Тип Организмa</t>
  </si>
  <si>
    <t>Полирезистентный ТБ</t>
  </si>
  <si>
    <t>Сведение об образце</t>
  </si>
  <si>
    <t>Вы просматриваете</t>
  </si>
  <si>
    <t>Адрес</t>
  </si>
  <si>
    <t>Статус</t>
  </si>
  <si>
    <t>Никогда не регистрировался</t>
  </si>
  <si>
    <t>Формы</t>
  </si>
  <si>
    <t>Укажите дату забора.</t>
  </si>
  <si>
    <t>в день x</t>
  </si>
  <si>
    <t>Укажите причину смерти.</t>
  </si>
  <si>
    <t>Дата начального курса лечения ТБ</t>
  </si>
  <si>
    <t>Посещения</t>
  </si>
  <si>
    <t>Завершить программу</t>
  </si>
  <si>
    <t xml:space="preserve">\u041E\u043A\u0442\u044F\u0431\u0440\u044C </t>
  </si>
  <si>
    <t xml:space="preserve">\u0414\u043E\u0431\u0430\u0432\u0438\u0442\u044C \u0433\u043E\u0441\u043F\u0438\u0442\u0430\u043B\u0438\u0437\u0430\u0446\u0438\u044E </t>
  </si>
  <si>
    <t xml:space="preserve">\u041D\u0430\u0441\u0442\u043E\u044F\u0449\u0438\u0439 </t>
  </si>
  <si>
    <t>Последний посев мокроты</t>
  </si>
  <si>
    <t>Дата рождения волонтера</t>
  </si>
  <si>
    <t>Отчеты по образцам для анализа</t>
  </si>
  <si>
    <t>Конверсия не достигнута</t>
  </si>
  <si>
    <t>Год начала лечения</t>
  </si>
  <si>
    <t>Имя матери</t>
  </si>
  <si>
    <t>Проверить значение пульса.</t>
  </si>
  <si>
    <t>Полный адрес</t>
  </si>
  <si>
    <t>Первый</t>
  </si>
  <si>
    <t>Изменить программу</t>
  </si>
  <si>
    <t>Документ не найден.</t>
  </si>
  <si>
    <t>Фактическая дата остановки</t>
  </si>
  <si>
    <t xml:space="preserve">\u041A\u043E\u043B-\u0432\u043E \u043A\u043E\u043B\u043E\u043D\u0438\u0439 </t>
  </si>
  <si>
    <t>{2} заказано в {1} из {0}</t>
  </si>
  <si>
    <t>Дата текущего курса лечения ТБ</t>
  </si>
  <si>
    <t>Не обязательно</t>
  </si>
  <si>
    <t>Группы мазков</t>
  </si>
  <si>
    <t>Укажите препараты во всех новых заказах</t>
  </si>
  <si>
    <t>Форма TB03</t>
  </si>
  <si>
    <t>Дата заказа</t>
  </si>
  <si>
    <t>Данных нет</t>
  </si>
  <si>
    <t>Зарегистрирован</t>
  </si>
  <si>
    <t>Дата смерти не может быть в будущем.</t>
  </si>
  <si>
    <t>Лечения не получает</t>
  </si>
  <si>
    <t>Поддерживающая фаза без Z (OFX + PTO + CS)</t>
  </si>
  <si>
    <t xml:space="preserve">\u0420\u0430\u0439\u043E\u043D </t>
  </si>
  <si>
    <t>В настоящий момент госпитализирован</t>
  </si>
  <si>
    <t xml:space="preserve">\u0434\u043D\u0435\u0439 \u043D\u0430\u0437\u0430\u0434, \u043D\u043E \u0431\u0435\u0437 \u0440\u0435\u0437\u0443\u043B\u044C\u0442\u0430\u0442\u043E\u0432 \u043F\u043E\u0441\u0435\u0432\u0430 </t>
  </si>
  <si>
    <t xml:space="preserve">\u041F\u043E\u043A\u0430\u0437\u0430\u0442\u044C \u043E\u0431\u0440\u0430\u0437\u0446\u044B \u0441 \u043F\u043E\u043B\u043E\u0436\u0438\u0442\u0435\u043B\u044C\u043D\u044B\u043C\u0438 \u0440\u0435\u0437\u0443\u043B\u044C\u0442\u0430\u0442\u0430\u043C\u0438 \u043C\u0430\u0437\u043A\u0430 \u0431\u043E\u043B\u0435\u0435 \u0447\u0435\u043C </t>
  </si>
  <si>
    <t>Укажите дату прерывания</t>
  </si>
  <si>
    <t>\u041F\uFFFD\uFFFD\u0441\u043B\u0435\u0434\u043D\u0438\u0439 \u0430\u043D\u0430\u043B\u0438\u0437 \u043D\u0430 \u0422\u0411</t>
  </si>
  <si>
    <t>Сортировать по</t>
  </si>
  <si>
    <t>Бактерии</t>
  </si>
  <si>
    <t>Дата завершения не может быть перед датой получения.</t>
  </si>
  <si>
    <t>Управление данными о волонтерах</t>
  </si>
  <si>
    <t>Статус посещений с целью наблюдения</t>
  </si>
  <si>
    <t>Добавить новый лабораторный анализ</t>
  </si>
  <si>
    <t>Понедельник</t>
  </si>
  <si>
    <t>Умерший</t>
  </si>
  <si>
    <t>Прямой</t>
  </si>
  <si>
    <t>Кол-во больных с положительным диагностическим посевом</t>
  </si>
  <si>
    <t>Кол-во больных с положительным контрольным мазком</t>
  </si>
  <si>
    <t>Кол-во больных с отрицательным контрольным мазком</t>
  </si>
  <si>
    <t>Сборы образцов</t>
  </si>
  <si>
    <t>\u041A\u043E\u043B-\u0432\u043E \u0431\u043E\u043B\u044C\u043D\u044B\u0445, \u043D\u0430\u043F\u0440\u0430\u0432\u043B\u0435\u043D\u043D\u044B\u0445 \u043D\u0430 \u043E\u0431\u0441\u043B\u0435\u0434\u043E\u0432\u0430\u043D\u0438\u0435 \u043D\u0430 \u043F\u0440\u0435\u0434\u043C\u0435\u0442 \u041C\u041B\u0423\t</t>
  </si>
  <si>
    <t>Мед.учреждение (последний визит)</t>
  </si>
  <si>
    <t>Кол-во ВИЧ положительных первичных больных МЛУ ТБ</t>
  </si>
  <si>
    <t>Кол-во умерших пациентов</t>
  </si>
  <si>
    <t>Кол-во пациентов, которые оторвались от лечения</t>
  </si>
  <si>
    <t>Программа пациента, которого вы просматриваете, закрыта.</t>
  </si>
  <si>
    <t>Диагностический мазок</t>
  </si>
  <si>
    <t>Конверсия на {0}</t>
  </si>
  <si>
    <t>Тип идентификатора пациента</t>
  </si>
  <si>
    <t>Укажите лицо, собравшее образец для анализа.</t>
  </si>
  <si>
    <t>\u041D\u0430\uFFFD\uFFFD\u0430\u0442\u043E \u043D\u0430 {1} \u0432 {0}</t>
  </si>
  <si>
    <t>Нет данных</t>
  </si>
  <si>
    <t>и</t>
  </si>
  <si>
    <t>Отчет по образцам, собранным в период</t>
  </si>
  <si>
    <t>Результат</t>
  </si>
  <si>
    <t>В настоящий момент отчетов нет</t>
  </si>
  <si>
    <t>Укажите лабораторию для данного отсканированного лабораторного отчета.</t>
  </si>
  <si>
    <t>Удалить данный анализ</t>
  </si>
  <si>
    <t xml:space="preserve">\u0412\u044B\u0431\u0440\u0430\u0442\u044C \u0441\u0442\u043E\u043B\u0431\u0446\u044B </t>
  </si>
  <si>
    <t>Регион</t>
  </si>
  <si>
    <t>Просмотреть дозировку препаратов</t>
  </si>
  <si>
    <t>Укажите дату изменения</t>
  </si>
  <si>
    <t xml:space="preserve">\u0412 \u043D\u0430\u0441\u0442\u043E\u044F\u0449\u0438\u0439 \u043C\u043E\u043C\u0435\u043D\u0442 \u043D\u0435 \u0433\u043E\u0441\u043F\u0438\u0442\u0430\u043B\u0438\u0437\u0438\u0440\u043E\u0432\u0430\u043D </t>
  </si>
  <si>
    <t>\u041F\u0430\u0446\u0438\u0435\u043D\u0442 \u0443\u043C\u0435\u0440\u0448\uFFFD\uFFFD\u0439</t>
  </si>
  <si>
    <t xml:space="preserve">\u0421\u0442\u0430\u0442\u0443\u0441 \u043F\u043E \u043F\u043E\u0441\u0435\u0432\u0443 </t>
  </si>
  <si>
    <t>Дата регистрации</t>
  </si>
  <si>
    <t>Октябрь</t>
  </si>
  <si>
    <t xml:space="preserve">\u041E\u0442\u0447\u0435\u0442 \u043F\u043E \u043B\u0435\u0447\u0435\u043D\u0438\u044E \u041C\u041B\u0423 \u0422\u0411 \u0437\u0430\u043F\u043E\u043B\u043D\u044F\u0435\u0442\u0441\u044F \u0435\u0436\u0435\u043C\u0435\u0441\u044F\u0447\u043D\u043E \u0438 \u0435\u0436\u0435\u043A\u0432\u0430\u0440\u0442\u0430\u043B\u044C\u043D\u043E </t>
  </si>
  <si>
    <t>Расчетный</t>
  </si>
  <si>
    <t>Квартал</t>
  </si>
  <si>
    <t xml:space="preserve">\u0414\u0430\u0442\u0430 \u0437\u0430\u0432\u0435\u0440\u0448\u0435\u043D\u0438\u044F \u043B\u0435\u0447\u0435\u043D\u0438\u044F \u043F\u043E \u043F\u0440\u043E\u0433\u0440\u0430\u043C\u043C\u0435 \u043D\u0435 \u043C\u043E\u0436\u0435\u0442 \u0431\u044B\u0442\u044C \u0434\u043E \u0434\u0430\u0442\u044B \u0440\u0435\u0433\u0438\u0441\u0442\u0440\u0430\u0446\u0438\u0438. </t>
  </si>
  <si>
    <t>Таблица мониторинга лечения</t>
  </si>
  <si>
    <t xml:space="preserve">\u041D\u0443\u0436\u043D\u043E \u0443\u043A\u0430\u0437\u0430\u0442\u044C \u043F\u0440\u0438\u0447\u0438\u043D\u0443 \u043E\u0442\u043C\u0435\u043D\u044B \u0434\u043B\u044F \u0412\u0421\u0415\u0425 \u043F\u0440\u0435\u043F\u0430\u0440\u0430\u0442\u043E\u0432 </t>
  </si>
  <si>
    <t>Для программы данного пациента нет информации по анализам.</t>
  </si>
  <si>
    <t>Проверить значение частоты дыхания.</t>
  </si>
  <si>
    <t>Выбрать препарат для индивидуальной схемы лечения</t>
  </si>
  <si>
    <t>Продолжить</t>
  </si>
  <si>
    <t xml:space="preserve">\u041D\u0435 \u0443\u043A\u0430\u0437\u0430\u043D\u043E </t>
  </si>
  <si>
    <t>Перечень</t>
  </si>
  <si>
    <t>Район</t>
  </si>
  <si>
    <t xml:space="preserve">\u041F\u043E\u0441\u043B\u0435\u0434\u043D\u0438\u0435 </t>
  </si>
  <si>
    <t>????????\:</t>
  </si>
  <si>
    <t>{0} на {1}, исследовано в {2}</t>
  </si>
  <si>
    <t xml:space="preserve">\u041C\u0435\u0442\u043E\u0434 </t>
  </si>
  <si>
    <t>Комментарии</t>
  </si>
  <si>
    <t>ТБ 08у</t>
  </si>
  <si>
    <t>Квартальный отчет результатов лечения больных МЛУ ТБ, взятых на лечение по режиму ПВР</t>
  </si>
  <si>
    <t>Отчет по ТЛЧ</t>
  </si>
  <si>
    <t>Отчет об исследованиях на лекарственную устойчивость</t>
  </si>
  <si>
    <t>ТБ 07у</t>
  </si>
  <si>
    <t>mdrtb.tb07Fast</t>
  </si>
  <si>
    <t>ТБ 07у (быстро)</t>
  </si>
  <si>
    <t>Квартальный отчет выявления случаев ЛУ-ТБ и начале лечения больных по режиму ПВР</t>
  </si>
  <si>
    <t xml:space="preserve"> Отчет по ПВР</t>
  </si>
  <si>
    <t xml:space="preserve"> Отчет о количестве МЛУ больных, получающих ПВР</t>
  </si>
  <si>
    <t>миёни</t>
  </si>
  <si>
    <t>ва</t>
  </si>
  <si>
    <t>Вилоят/Ноҳия</t>
  </si>
  <si>
    <t>Номгӯи муассисаи тиббӣ</t>
  </si>
  <si>
    <t>Санаи пур кардан</t>
  </si>
  <si>
    <t xml:space="preserve"> Шахси масъул</t>
  </si>
  <si>
    <t xml:space="preserve"> №.</t>
  </si>
  <si>
    <t xml:space="preserve">mdrtb.sldreport.patientName </t>
  </si>
  <si>
    <t>Ному Насаби бемор</t>
  </si>
  <si>
    <t>Дата Начала Лечения (месяц и год)</t>
  </si>
  <si>
    <t>Дигар</t>
  </si>
  <si>
    <t>mdrtb.sldreport.calculate</t>
  </si>
  <si>
    <t>Период с</t>
  </si>
  <si>
    <t>по</t>
  </si>
  <si>
    <t>Ҳисобот оиди шумораи бемороне, ки доруҳои қатори дуюмро қабул мекунанд</t>
  </si>
  <si>
    <t>mdrtb.minimumAgeAtTxStart</t>
  </si>
  <si>
    <t xml:space="preserve"> Мин. возраст при начале лечения</t>
  </si>
  <si>
    <t>mdrtb.maximumAgeAtTxStart</t>
  </si>
  <si>
    <t xml:space="preserve"> Макс. возраст при начале лечения</t>
  </si>
  <si>
    <t xml:space="preserve">  Отчеты по МЛУ ТБ</t>
  </si>
  <si>
    <t xml:space="preserve"> Отчеты по ЛЧ ТБ</t>
  </si>
  <si>
    <t>Другие Отчеты</t>
  </si>
  <si>
    <t xml:space="preserve"> ТБ 07</t>
  </si>
  <si>
    <t xml:space="preserve"> ТБ 07 (быстро)</t>
  </si>
  <si>
    <t>Форма 10 ВОЗ</t>
  </si>
  <si>
    <t xml:space="preserve"> ТБ 08</t>
  </si>
  <si>
    <t xml:space="preserve"> ТБ 08 (быстро)</t>
  </si>
  <si>
    <t xml:space="preserve"> Форма 8</t>
  </si>
  <si>
    <t>Годовой обчет по результатам лечения</t>
  </si>
  <si>
    <t>Форма ТБ03</t>
  </si>
  <si>
    <t xml:space="preserve"> Фамилия, Имя</t>
  </si>
  <si>
    <t>Форма ТБ03y</t>
  </si>
  <si>
    <t>Область</t>
  </si>
  <si>
    <t xml:space="preserve"> Показать ТБ03у</t>
  </si>
  <si>
    <t>Возраст при регистрации</t>
  </si>
  <si>
    <t>Год и номер регистрации в ТБ03</t>
  </si>
  <si>
    <t>Фамилия и имя</t>
  </si>
  <si>
    <t>Пол (М /Ж)</t>
  </si>
  <si>
    <t>Ж</t>
  </si>
  <si>
    <t>Возраст/Дата рождения</t>
  </si>
  <si>
    <t>Адрес проживания</t>
  </si>
  <si>
    <t>Регистрационный номер по режиму II в РЦЗНТ</t>
  </si>
  <si>
    <t>Локализация ТБ (Л/ВЛ)</t>
  </si>
  <si>
    <t>Локализация ТБ</t>
  </si>
  <si>
    <t>Лечебное учреждение для ИФ</t>
  </si>
  <si>
    <t>Лечебное учреждение для ПФ</t>
  </si>
  <si>
    <t>Определение случая</t>
  </si>
  <si>
    <t>Переведен из</t>
  </si>
  <si>
    <t xml:space="preserve">Подтвержденный/Клинически </t>
  </si>
  <si>
    <t>Режим лечения&lt;br/&gt;(СРЛ, КРЛ, ИРЛ)</t>
  </si>
  <si>
    <t>Амбулаторное/ Стационарное</t>
  </si>
  <si>
    <t>Дата сбора материала для ТЛЧ</t>
  </si>
  <si>
    <t>Результат ТЛЧ (У, Ч, Н)</t>
  </si>
  <si>
    <t>Тип устойчивости&lt;br/&gt;по результату&lt;br/&gt;ТЛЧ (Монорез, РУ, МЛУ, ПЛУ, пре-ШЛУ, ШЛУ)</t>
  </si>
  <si>
    <t>Деятельность по ТБ/ВИЧ</t>
  </si>
  <si>
    <t>Результаты бактериоскопии мазка (М) и посева (П) мокроты в ходе лечения</t>
  </si>
  <si>
    <t>Результат лечения и дата окончания лечения</t>
  </si>
  <si>
    <t>Рецидив&lt;br/&gt;(Да/Нет)</t>
  </si>
  <si>
    <t>Новый случай</t>
  </si>
  <si>
    <t>Рецидив после&lt;br/&gt;лечения по режиму</t>
  </si>
  <si>
    <t>После отрыва от&lt;br/&gt;лечения по режиму</t>
  </si>
  <si>
    <t xml:space="preserve">После неэффективного&lt;br/&gt;лечения по режиму </t>
  </si>
  <si>
    <t>Другие</t>
  </si>
  <si>
    <t>Дата&lt;br/&gt;подтверждения</t>
  </si>
  <si>
    <t>Дата&lt;br/&gt;начала&lt;br/&gt;лечения</t>
  </si>
  <si>
    <t>Дата результата ТЛЧ</t>
  </si>
  <si>
    <t>Метод выявления</t>
  </si>
  <si>
    <t>АРТ (да/нет)&lt;br/&gt;Дата начала</t>
  </si>
  <si>
    <t>ПЛК (да/нет)&lt;br/&gt;Дата начала</t>
  </si>
  <si>
    <t xml:space="preserve">0 месяц /Дата </t>
  </si>
  <si>
    <t xml:space="preserve">1 месяц /Дата </t>
  </si>
  <si>
    <t xml:space="preserve">2 месяц /Дата </t>
  </si>
  <si>
    <t xml:space="preserve">3 месяц /Дата </t>
  </si>
  <si>
    <t xml:space="preserve">4 месяц /Дата </t>
  </si>
  <si>
    <t xml:space="preserve">5 месяц /Дата </t>
  </si>
  <si>
    <t xml:space="preserve">6 месяц /Дата </t>
  </si>
  <si>
    <t xml:space="preserve">7 месяц /Дата </t>
  </si>
  <si>
    <t xml:space="preserve">8 месяц /Дата </t>
  </si>
  <si>
    <t xml:space="preserve">9 месяц /Дата </t>
  </si>
  <si>
    <t xml:space="preserve">10 месяц /Дата </t>
  </si>
  <si>
    <t xml:space="preserve">11 месяц /Дата </t>
  </si>
  <si>
    <t xml:space="preserve">12 месяц /Дата </t>
  </si>
  <si>
    <t xml:space="preserve">15 месяц /Дата </t>
  </si>
  <si>
    <t xml:space="preserve">18 месяц /Дата </t>
  </si>
  <si>
    <t xml:space="preserve">21 месяц /Дата </t>
  </si>
  <si>
    <t xml:space="preserve">24 месяц /Дата </t>
  </si>
  <si>
    <t xml:space="preserve">27 месяц /Дата </t>
  </si>
  <si>
    <t xml:space="preserve">30 месяц /Дата  </t>
  </si>
  <si>
    <t xml:space="preserve">33 месяц /Дата </t>
  </si>
  <si>
    <t xml:space="preserve">36 месяц /Дата </t>
  </si>
  <si>
    <t>Излечен</t>
  </si>
  <si>
    <t>Лечение&lt;br/&gt;завершено</t>
  </si>
  <si>
    <t>Умер</t>
  </si>
  <si>
    <t>Неэффективное&lt;br/&gt;лечение</t>
  </si>
  <si>
    <t>Потерян для&lt;br/&gt;последующего&lt;br/&gt;наблюдения</t>
  </si>
  <si>
    <t xml:space="preserve">Какой по счету&lt;br/&gt;месяц после успешного&lt;br/&gt;лечения </t>
  </si>
  <si>
    <t>да/нет&lt;br/&gt;Дата</t>
  </si>
  <si>
    <t>Результат&lt;br/&gt;(пол/отр)</t>
  </si>
  <si>
    <t>П</t>
  </si>
  <si>
    <t>от ТБ</t>
  </si>
  <si>
    <t>от других&lt;br/&gt;причин</t>
  </si>
  <si>
    <t>Дата начала АРТ</t>
  </si>
  <si>
    <t>Дата начала ПЛК</t>
  </si>
  <si>
    <t>Лекарственная устойчивость</t>
  </si>
  <si>
    <t>Лекарственная устойчивость на начало лечения</t>
  </si>
  <si>
    <t>Лекарственная устойчивость в ходе лечения</t>
  </si>
  <si>
    <t>Принято доз ИФ</t>
  </si>
  <si>
    <t>Пропущено доз ИФ</t>
  </si>
  <si>
    <t>Принято доз ПФ</t>
  </si>
  <si>
    <t>Пропущено доз ПФ</t>
  </si>
  <si>
    <t>Результат лечения</t>
  </si>
  <si>
    <t>Дата окончания лечения</t>
  </si>
  <si>
    <t>Умер в период диспансерного наблюдения (дата смерти)</t>
  </si>
  <si>
    <t>Регистрационный номер по ТБ03</t>
  </si>
  <si>
    <t>Регистрационный номер по режиму II РЦЗНТ</t>
  </si>
  <si>
    <t>МЛУ-ТБ Подтвержденный/Клинически</t>
  </si>
  <si>
    <t>Дата подтверждения</t>
  </si>
  <si>
    <t>Режим лечения</t>
  </si>
  <si>
    <t>Дата начала лечения ЛУ</t>
  </si>
  <si>
    <t>Дата начала лечения ШЛУ</t>
  </si>
  <si>
    <t>Место лечения</t>
  </si>
  <si>
    <t>Дата обследования на ВИЧ</t>
  </si>
  <si>
    <t>Дата начала лечения АРТ</t>
  </si>
  <si>
    <t xml:space="preserve">Рецидив </t>
  </si>
  <si>
    <t>Причина смерти (Другие)</t>
  </si>
  <si>
    <t>Форма ТБ03У</t>
  </si>
  <si>
    <t>Форма ТБ-03 ШЛУ</t>
  </si>
  <si>
    <t>Отчет по качеству данных ЛУ</t>
  </si>
  <si>
    <t>Отсутствует ТБ03</t>
  </si>
  <si>
    <t>Отсутствует ТБ03y</t>
  </si>
  <si>
    <t>Отсутствует Форма89</t>
  </si>
  <si>
    <t>Пациент не новый, но имеет форму89</t>
  </si>
  <si>
    <t>Отсутствует возраст при регистрации</t>
  </si>
  <si>
    <t>Отсутствует группа регистрации</t>
  </si>
  <si>
    <t>Отсутствует ТЛЧ</t>
  </si>
  <si>
    <t>Зарегистрирован но отсутсвует дата начала лечения</t>
  </si>
  <si>
    <t>Отсутствует результат лечения после 24 месецев лечения</t>
  </si>
  <si>
    <t>Отсутствует адрес места жительства</t>
  </si>
  <si>
    <t>Отсутствует регистрационный номер ЛЧ ТБ (МЛУ)</t>
  </si>
  <si>
    <t>Отсутствует очаг заболевания</t>
  </si>
  <si>
    <t>Регистрацоанный номер</t>
  </si>
  <si>
    <t xml:space="preserve">Дата рождения </t>
  </si>
  <si>
    <t>Общее количество пациентов</t>
  </si>
  <si>
    <t>Общее количество пациентов с ошибками</t>
  </si>
  <si>
    <t>Относительная ошибки в процентах</t>
  </si>
  <si>
    <t>Данный электронный ТБ-регистр (на базе OpenMRS) стало возможным благодаря помощи американского народа, оказанной через Агентство США по международному развитию (USAID). Project HOPE несет ответственность за содержание, которое не обязательно отражает позицию USAID или Правительства США.</t>
  </si>
  <si>
    <t>МЛУ-ТБ программы</t>
  </si>
  <si>
    <t>ТБ программы</t>
  </si>
  <si>
    <t>Хайн-Тест 1-го ряда</t>
  </si>
  <si>
    <t>Хайн-Тест 2-го ряда</t>
  </si>
  <si>
    <t>mdrtb.mostRecentDst</t>
  </si>
  <si>
    <t>Месяц лечения</t>
  </si>
  <si>
    <t>№ лаб.иссл</t>
  </si>
  <si>
    <t>Дата забора образца</t>
  </si>
  <si>
    <t>Результат МБТ</t>
  </si>
  <si>
    <t>Рифампицин</t>
  </si>
  <si>
    <t>Изониазид</t>
  </si>
  <si>
    <t>\u041F\u0440\u043E\u0441\u043C\u043E\u0442\u0440 \u0437\u0430\u043A\u0440\u044B\u0442\u044B\u0445 \u043E\u0442\u0447\u0435\u0442\u043E\u0432</t>
  </si>
  <si>
    <t>\u0412\u044B \u0434\u0435\u0439\u0441\u0442\u0432\u0438\u0442\u0435\u043B\u044C\u043D\u043E \u0445\u043E\u0442\u0438\u0442\u0435 \u041E\u0422\u041A\u0420\u042B\u0412\u0410\u0422\u042C \u044D\u0442\u043E\u0442 \u043E\u0442\u0447\u0435\u0442?</t>
  </si>
  <si>
    <t>\u0412\u044B \u0434\u0435\u0439\u0441\u0442\u0432\u0438\u0442\u0435\u043B\u044C\u043D\u043E \u0445\u043E\u0442\u0438\u0442\u0435 \u0417\u0410\u041A\u0420\u042B\u0422\u042C \u044D\u0442\u043E\u0442 \u043E\u0442\u0447\u0435\u0442?</t>
  </si>
  <si>
    <t>\u043E\u0431\u043B\u0430\u0441\u0442\u044C</t>
  </si>
  <si>
    <t>\u0440\u0430\u0439\u043E\u043D</t>
  </si>
  <si>
    <t>\u0413\u043E\u0434</t>
  </si>
  <si>
    <t>\u0447\u0435\u0442\u0432\u0435\u0440\u0442\u044C</t>
  </si>
  <si>
    <t>\u041C\u0435\u0441\u044F\u0446</t>
  </si>
  <si>
    <t>\u041D\u0430\u0437\u0432\u0430\u043D\u0438\u0435 \u043E\u0442\u0447\u0435\u0442\u0430</t>
  </si>
  <si>
    <t>\u0414\u0430\u0442\u0430 \u043E\u0442\u0447\u0435\u0442\u0430</t>
  </si>
  <si>
    <t>\u041F\u043E\u0441\u043C\u043E\u0442\u0440\u0435\u0442\u044C</t>
  </si>
  <si>
    <t>\u043E\u0442\u043F\u0435\u0440\u0435\u0442\u044C</t>
  </si>
  <si>
    <t>\u042D\u043A\u0441\u043F\u043E\u0440\u0442 \u0432 Excel</t>
  </si>
  <si>
    <t>\u042D\u043A\u0441\u043F\u043E\u0440\u0442 \u0432 Pdf</t>
  </si>
  <si>
    <t>\u0417\u0430\u043A\u0440\u044B\u0442\u044C \u043E\u0442\u0447\u0435\u0442</t>
  </si>
  <si>
    <t>Объединить записи&lt;br/&gt;пациентов</t>
  </si>
  <si>
    <t>Житель</t>
  </si>
  <si>
    <t>Социально-профессиональная принадлежность</t>
  </si>
  <si>
    <t>Категория населения</t>
  </si>
  <si>
    <t>Место выявления</t>
  </si>
  <si>
    <t>Дата первого обращения за&lt;br/&gt;медицинской помощью</t>
  </si>
  <si>
    <t>Обстоятельства, при&lt;br/&gt;которых выявлено заболевание (пути выявления)</t>
  </si>
  <si>
    <t>Если внелёгочный</t>
  </si>
  <si>
    <t xml:space="preserve">Клинический диагноз </t>
  </si>
  <si>
    <t>Наличие распада</t>
  </si>
  <si>
    <t>дата обследования</t>
  </si>
  <si>
    <t>сахарный диабет</t>
  </si>
  <si>
    <t>ХНЗЛ</t>
  </si>
  <si>
    <t>гипертоническая болезнь, ИБС</t>
  </si>
  <si>
    <t>язвенная болезнь желудка и 12-перстной кишки</t>
  </si>
  <si>
    <t>психическое заболевание</t>
  </si>
  <si>
    <t>МКБ В20.9</t>
  </si>
  <si>
    <t>онкологическое заболевание</t>
  </si>
  <si>
    <t>другое</t>
  </si>
  <si>
    <t>гепатит</t>
  </si>
  <si>
    <t>Болезнь почек</t>
  </si>
  <si>
    <t>Дата подтверждения диагноза&lt;br/&gt;туберкулеза на ЦВКК</t>
  </si>
  <si>
    <t>Номер ЦВКК</t>
  </si>
  <si>
    <t>Назначенный режим лечения</t>
  </si>
  <si>
    <t>Дата заполнения Формы 89</t>
  </si>
  <si>
    <t>Осложнение</t>
  </si>
  <si>
    <t>Не назначен</t>
  </si>
  <si>
    <t>рецидив</t>
  </si>
  <si>
    <t>повторная обработка</t>
  </si>
  <si>
    <t>передавать в</t>
  </si>
  <si>
    <t>генерировать</t>
  </si>
  <si>
    <t>Список</t>
  </si>
  <si>
    <t>Пациенты по группе регистрации</t>
  </si>
  <si>
    <t>Пациенты по месту заболевания</t>
  </si>
  <si>
    <t>Легочной ТБ  по группе регистрации и бактериологического статуса</t>
  </si>
  <si>
    <t>Пациенты с МЛУ ТБ или ШЛУ ТБ</t>
  </si>
  <si>
    <t>пациенты с МЛУ ТБ или ШЛУ ТБ с успешным лечением</t>
  </si>
  <si>
    <t>Пациенты с МЛУ ТБ или ШЛУ ТБ не начали лечение</t>
  </si>
  <si>
    <t>Женщины детородного возраста (15-49)</t>
  </si>
  <si>
    <t>Мужчины призывного возраста (18-27)</t>
  </si>
  <si>
    <t>Пациенты, зарегистрированные по контакту с ТБ</t>
  </si>
  <si>
    <t>Пациенты с сахарным диабетом</t>
  </si>
  <si>
    <t>Пациенты с онкологическим заболеванием</t>
  </si>
  <si>
    <t>Пациенты с язвенной болезнью желудка и 12-перстной кишки</t>
  </si>
  <si>
    <t>Пациенты с МКБ В20.9</t>
  </si>
  <si>
    <t>Пациенты с психическим заболеванием</t>
  </si>
  <si>
    <t>Пациенты с гипертонической болезнью, ИБС</t>
  </si>
  <si>
    <t>Пациенты с гепатитом</t>
  </si>
  <si>
    <t>Пациенты с заболеваниями почек</t>
  </si>
  <si>
    <t>Пациенты с ХНЗЛ</t>
  </si>
  <si>
    <t>Пациенты с Другими заболеваниями</t>
  </si>
  <si>
    <t>Все пациенты зарегистрированы</t>
  </si>
  <si>
    <t xml:space="preserve">Пациенты по типу лекарственной устойчивости </t>
  </si>
  <si>
    <t>Пациенты по месту жительства</t>
  </si>
  <si>
    <t>Пациенты по социально-профессиональной принадлежности</t>
  </si>
  <si>
    <t>Пациенты по Категория населения</t>
  </si>
  <si>
    <t xml:space="preserve">Пациенты по месту выявления </t>
  </si>
  <si>
    <t>Пациенты по обстоятельствам выявления (пути выявления)</t>
  </si>
  <si>
    <t>Пациенты по методу выявления</t>
  </si>
  <si>
    <t>Пациенты по Локализация ТБ: Легочной</t>
  </si>
  <si>
    <t>Пациенты по Локализация ТБ: Внелегочной</t>
  </si>
  <si>
    <t>Пациенты с ЛУ ТБ</t>
  </si>
  <si>
    <t>Регистрационный номер по ТБ03У</t>
  </si>
  <si>
    <t>Дата взятия по ТБ03У</t>
  </si>
  <si>
    <t>Изменение режима в ходе лечения</t>
  </si>
  <si>
    <t>Пациенты с ЛУ ТБ не начали лечение</t>
  </si>
  <si>
    <t>пациенты с ЛУ ТБ с успешным лечением</t>
  </si>
  <si>
    <t>Регистрация в программе</t>
  </si>
  <si>
    <t>Фамилия и Имя врача</t>
  </si>
  <si>
    <t>Имя Лечебное учреждение для ИФ</t>
  </si>
  <si>
    <t>Имя Лечебное учреждение для ПФ</t>
  </si>
  <si>
    <t>Распечатать</t>
  </si>
  <si>
    <t>Фторхинолоновая группа&lt;br/&gt;Офлоксацин/Моксифлоксацин</t>
  </si>
  <si>
    <t>инъекционная группа&lt;br/&gt;Амикацин/Канамицин/Капреомицин/Виомицин</t>
  </si>
  <si>
    <t>Дата Рентген</t>
  </si>
  <si>
    <t>Название местоположения лечения</t>
  </si>
  <si>
    <t>Изменить данные пациента</t>
  </si>
  <si>
    <t>Страна происхождения</t>
  </si>
  <si>
    <t>Город происхождения</t>
  </si>
  <si>
    <t>Дата возвращения</t>
  </si>
  <si>
    <t>Место ЦВКК</t>
  </si>
  <si>
    <t>Другой метод обнаружения</t>
  </si>
  <si>
    <t>ТБ03 вывезти (одна линия)</t>
  </si>
  <si>
    <t>Форма 89 вывезти (одна линия)</t>
  </si>
  <si>
    <t>ТБ03у вывезти (одна линия)</t>
  </si>
  <si>
    <t>Отр</t>
  </si>
  <si>
    <t>уст</t>
  </si>
  <si>
    <t>чув</t>
  </si>
  <si>
    <t>Не определенный</t>
  </si>
  <si>
    <t>ошибка</t>
  </si>
  <si>
    <t>Из числа всех новых случаев (с бактериологическим подтверждением или с клинически установленным диагнозом), выявленных за квартал: женщины детородного возраста (15-49) &lt;u&gt;{0}&lt;/u&gt;, из них беременные &lt;u&gt;{1}&lt;/u&gt;; контактные &lt;u&gt;{2}&lt;/u&gt;; мигранты  &lt;u&gt;{3}&lt;/u&gt;; медработники ПМСП  &lt;u&gt;{4}&lt;/u&gt;; медработники ТБ службы &lt;u&gt;{5}&lt;/u&gt;.&lt;br/&gt;Из числа контингента, состоящих на учете: умерло всего &lt;u&gt;{6}&lt;/u&gt;, из них: дети  &lt;u&gt;{7}&lt;/u&gt;, женщины детородного возраста &lt;u&gt;{8}&lt;/u&gt;.</t>
  </si>
  <si>
    <t>дублировать TB03</t>
  </si>
  <si>
    <t>дублировать Форма89</t>
  </si>
  <si>
    <t xml:space="preserve"> канал связи</t>
  </si>
  <si>
    <t>Добавить в программу</t>
  </si>
  <si>
    <t>Добавить ТБ03 ШЛУ</t>
  </si>
  <si>
    <t>Количество записей</t>
  </si>
  <si>
    <t>Новые случаи</t>
  </si>
  <si>
    <t>Рецидивы</t>
  </si>
  <si>
    <t>Повторные случаи</t>
  </si>
  <si>
    <t>Переведенные в</t>
  </si>
  <si>
    <t>Наименование города или района, куда переведен больной</t>
  </si>
  <si>
    <t>Дата перевода</t>
  </si>
  <si>
    <t>Локализация</t>
  </si>
  <si>
    <t>Название препарата</t>
  </si>
  <si>
    <t>Новые легочные с бактериологическим подтверждением</t>
  </si>
  <si>
    <t>Новые легочные с клинически установленным диагнозом</t>
  </si>
  <si>
    <t>Рецидивы легочные с бактериологическим подтверждением</t>
  </si>
  <si>
    <t>Рецидивы легочные с клинически установленным диагнозом</t>
  </si>
  <si>
    <t>Повторные легочные с бактериологическим подтверждением</t>
  </si>
  <si>
    <t>Повторные легочные с клинически установленным диагнозом</t>
  </si>
  <si>
    <t>Переведенные легочные с бактериологическим подтверждением</t>
  </si>
  <si>
    <t xml:space="preserve">Переведенные легочные с клинически установленным диагнозом </t>
  </si>
  <si>
    <t xml:space="preserve"> Житель города</t>
  </si>
  <si>
    <t>Житель села</t>
  </si>
  <si>
    <t>Микросокпия</t>
  </si>
  <si>
    <t xml:space="preserve">Лекарственная&lt;br/&gt;устойчивость </t>
  </si>
  <si>
    <t>Чувствительность к</t>
  </si>
  <si>
    <t xml:space="preserve">Исход </t>
  </si>
  <si>
    <t>Дата&lt;br/&gt;окончания&lt;br/&gt;лечения</t>
  </si>
  <si>
    <t>Повтоный регистрационный&lt;br/&gt; номер ДОТС</t>
  </si>
  <si>
    <t>Инъек</t>
  </si>
  <si>
    <t>Пациентов с сопутствующими заболеваниями</t>
  </si>
  <si>
    <t>Пророст</t>
  </si>
  <si>
    <t>Л</t>
  </si>
  <si>
    <t>ВЛ</t>
  </si>
  <si>
    <t>Причина не взятия на лечения</t>
  </si>
  <si>
    <t>Форма Лекарственная устойчивость в ходе лечения</t>
  </si>
  <si>
    <t>Добавить Форма Лекарственная устойчивость в ходе лечения</t>
  </si>
  <si>
    <t>Регистрационный номер не может быть пустым</t>
  </si>
  <si>
    <t>3 и 4 цыфры регистрационного номера не могут указывать на будущие годы</t>
  </si>
  <si>
    <t>3-я и 4-я цифры регистрационного номера должны соответствовать году регистрации</t>
  </si>
  <si>
    <t>Форма режима</t>
  </si>
  <si>
    <t>Дата ЦВКК</t>
  </si>
  <si>
    <t>Источник финансирования</t>
  </si>
  <si>
    <t>ХОУП</t>
  </si>
  <si>
    <t>HR 75/150 таб</t>
  </si>
  <si>
    <t>HRZE 75/150/400/275 таб</t>
  </si>
  <si>
    <t>Другoе</t>
  </si>
  <si>
    <t>Другoе препарат название</t>
  </si>
  <si>
    <t>Другое препарат дозировать</t>
  </si>
  <si>
    <t>Другое</t>
  </si>
  <si>
    <t>Другой режим</t>
  </si>
  <si>
    <t>Добавить новый режима</t>
  </si>
  <si>
    <t>Тошнота/рвота</t>
  </si>
  <si>
    <t>Диарея</t>
  </si>
  <si>
    <t>Арталгия</t>
  </si>
  <si>
    <t>Головокружение/потеря равновесия</t>
  </si>
  <si>
    <t>mdrtb.pv.hearingDIsturbances</t>
  </si>
  <si>
    <t>Слуховые нарушения</t>
  </si>
  <si>
    <t>mdrtb.pv.headache</t>
  </si>
  <si>
    <t>Головная боль</t>
  </si>
  <si>
    <t>Нарушение сна</t>
  </si>
  <si>
    <t>Электролитные нарушения</t>
  </si>
  <si>
    <t>Боль в животе</t>
  </si>
  <si>
    <t>Анорексия</t>
  </si>
  <si>
    <t>Гастрит</t>
  </si>
  <si>
    <t>Периферическая нейропатия</t>
  </si>
  <si>
    <t>Депрессия</t>
  </si>
  <si>
    <t>Шум в ушах</t>
  </si>
  <si>
    <t>Аллергическая реакция</t>
  </si>
  <si>
    <t>Сыпь</t>
  </si>
  <si>
    <t>Зрительные нарушения</t>
  </si>
  <si>
    <t>Судороги</t>
  </si>
  <si>
    <t>Гипотиреоз</t>
  </si>
  <si>
    <t>Психоз</t>
  </si>
  <si>
    <t>Суицидальные мысли</t>
  </si>
  <si>
    <t>Гепатит (гепатотоксичность)</t>
  </si>
  <si>
    <t>Почечная недостаточность (нефротоксичность)</t>
  </si>
  <si>
    <t>Удлинение интервала QT</t>
  </si>
  <si>
    <t>Общий осмотр</t>
  </si>
  <si>
    <t>Острота зрения</t>
  </si>
  <si>
    <t>Определение слуха</t>
  </si>
  <si>
    <t>Аудиограмма</t>
  </si>
  <si>
    <t>Обследование больных на предмет неврологических и психиатрических отклонений</t>
  </si>
  <si>
    <t>Сывороточный креатинин</t>
  </si>
  <si>
    <t xml:space="preserve">АЛАТ </t>
  </si>
  <si>
    <t xml:space="preserve">АСАТ </t>
  </si>
  <si>
    <t xml:space="preserve">Билирубин </t>
  </si>
  <si>
    <t>Щелочная фосфатаза</t>
  </si>
  <si>
    <t>Определение уровня ГГТ (Гамма-глутамилтрансфераза)</t>
  </si>
  <si>
    <t>ЭКГ</t>
  </si>
  <si>
    <t>Липаза</t>
  </si>
  <si>
    <t>Амилаза</t>
  </si>
  <si>
    <t>Калий</t>
  </si>
  <si>
    <t>Магний</t>
  </si>
  <si>
    <t>Кальций</t>
  </si>
  <si>
    <t>Альбумин</t>
  </si>
  <si>
    <t>Общий анализ крови</t>
  </si>
  <si>
    <t>Глюкоза сыворотки крови</t>
  </si>
  <si>
    <t>Определение уровня тиреотропный гормон (ТТГ)</t>
  </si>
  <si>
    <t>Поражения кожи и ее производных</t>
  </si>
  <si>
    <t xml:space="preserve">Скелетно-мышечные поражения </t>
  </si>
  <si>
    <t>Неврологические нарушения</t>
  </si>
  <si>
    <t>Нарушения зрения</t>
  </si>
  <si>
    <t>Расстройства слуха, вестибулярного аппарата и  другиx органов чувств</t>
  </si>
  <si>
    <t>Психические расстройства</t>
  </si>
  <si>
    <t>Желудочно-кишечные расстройства</t>
  </si>
  <si>
    <t>Нарушения печени и желчевыводящих путей</t>
  </si>
  <si>
    <t xml:space="preserve">Метаболические расстройства  </t>
  </si>
  <si>
    <t>Эндокринные расстройства</t>
  </si>
  <si>
    <t>Сердечные нарушения</t>
  </si>
  <si>
    <t>НЯ (симптомы)</t>
  </si>
  <si>
    <t>Дата начала НЯ</t>
  </si>
  <si>
    <t>Результат лабораторного исследования/ функциональное исследование, подтверждающее НЯ</t>
  </si>
  <si>
    <t>Подозреваемый препарат(ы) включая все ПТП и другие препаратов</t>
  </si>
  <si>
    <t>Режим лечения во время появления НЯ</t>
  </si>
  <si>
    <t>Тип НЯ</t>
  </si>
  <si>
    <t>Тип СНЯ</t>
  </si>
  <si>
    <t>Тип НЯ особого интереса</t>
  </si>
  <si>
    <t>НЯ требующие включение вспомогательных препаратов</t>
  </si>
  <si>
    <t>НЯ требующие изменение в дозировке, режиме лечения или замены препарата</t>
  </si>
  <si>
    <t>Дата подачи «Желтой карты»</t>
  </si>
  <si>
    <t>Решение ЦВКК по результатам оценки причинно-следственной связи 1</t>
  </si>
  <si>
    <t>Решение ЦВКК по результатам оценки причинно-следственной связи 2</t>
  </si>
  <si>
    <t>Решение ЦВКК по результатам оценки причинно-следственной связи 3</t>
  </si>
  <si>
    <t>Препарат 1</t>
  </si>
  <si>
    <t>Препарат 2</t>
  </si>
  <si>
    <t>Препарат 3</t>
  </si>
  <si>
    <t>Меры, предпринятые для устранения НЯ</t>
  </si>
  <si>
    <t>Результат предпринятых мер</t>
  </si>
  <si>
    <t>Дата устранения НЯ</t>
  </si>
  <si>
    <t>Место появления НЯ (Учреждение)</t>
  </si>
  <si>
    <t>Код MedDRA</t>
  </si>
  <si>
    <t>Повторное назначение препарата</t>
  </si>
  <si>
    <t>Форма НЯ</t>
  </si>
  <si>
    <t>Добавить новый НЯ</t>
  </si>
  <si>
    <t xml:space="preserve"> Введите дату начала НЯ</t>
  </si>
  <si>
    <t>Введите НЯ (симптомы)</t>
  </si>
  <si>
    <t>дата начала НЯ не может быть в будущем</t>
  </si>
  <si>
    <t>Введите функциональное исследование</t>
  </si>
  <si>
    <t>ВведитеПодозреваемый препарат(ы) включая все ПТП и другие препаратов</t>
  </si>
  <si>
    <t>Введите Тип НЯ</t>
  </si>
  <si>
    <t>Дата подачи «Желтой карты» не может быть до даты начала НЯ</t>
  </si>
  <si>
    <t>Введите Решение ЦВКК по результатам оценки причинно-следственной связи 1</t>
  </si>
  <si>
    <t>Введите Решение ЦВКК по результатам оценки причинно-следственной связи 2</t>
  </si>
  <si>
    <t>Введите Решение ЦВКК по результатам оценки причинно-следственной связи 3</t>
  </si>
  <si>
    <t>Введите Меры, предпринятые для устранения НЯ</t>
  </si>
  <si>
    <t>Введите Результат предпринятых мер</t>
  </si>
  <si>
    <t>Введите дату устранения НЯ</t>
  </si>
  <si>
    <t>Дата Результат предпринятых мер не может быть до даты начала НЯ</t>
  </si>
  <si>
    <t>Введите Код MedDRA</t>
  </si>
  <si>
    <t>Пожалуйста ведите Тип СНЯ</t>
  </si>
  <si>
    <t>Пожалуйста ведите Тип НЯ особого интереса</t>
  </si>
  <si>
    <t>фармаконадзор</t>
  </si>
  <si>
    <t>Управление НЯ</t>
  </si>
  <si>
    <t>Квартальный отчет по НЯ</t>
  </si>
  <si>
    <t>квартал</t>
  </si>
  <si>
    <t>Таблица 1. Количество больных с ЛУ ТБ, получающих лечение по режимам</t>
  </si>
  <si>
    <t>Режимы лечения</t>
  </si>
  <si>
    <t>Количество больных, начавших&lt;br/&gt;лечение по соответствующему&lt;br/&gt;режиму в течение квартал&lt;br/&gt;(когортный подход)</t>
  </si>
  <si>
    <t>Количество больных,&lt;br/&gt;получающих лечение по&lt;br/&gt;соответствующему режиму в&lt;br/&gt;течение квартала</t>
  </si>
  <si>
    <t xml:space="preserve">Стандартный режим лечения ЛУ ТБ </t>
  </si>
  <si>
    <t xml:space="preserve">Краткосрочный режим </t>
  </si>
  <si>
    <t>Режим, содержащий Бедаквилин</t>
  </si>
  <si>
    <t xml:space="preserve"> Режим, содержащий Деламанид</t>
  </si>
  <si>
    <t>Режим, содержащий Бедаквилин и Деламанид</t>
  </si>
  <si>
    <t xml:space="preserve"> Режим, содержащий Клофазимин и/или Линезолид</t>
  </si>
  <si>
    <t>Другой, указать режим</t>
  </si>
  <si>
    <t>Всего</t>
  </si>
  <si>
    <t>Дата отчета</t>
  </si>
  <si>
    <t>Таблица 2. Количество серьезных НЯ и НЯ, вызывающие особый интерес по режимам лечения</t>
  </si>
  <si>
    <t>1. Серьезные НЯ (сумма 1.1 . - 1.5.)</t>
  </si>
  <si>
    <t>1.1 Смерть</t>
  </si>
  <si>
    <t>1.2 Госпитализация/продление</t>
  </si>
  <si>
    <t>1.3 Инвалидность</t>
  </si>
  <si>
    <t>1.4 Врожденные аномалии</t>
  </si>
  <si>
    <t>1.5 Представляющие угрозу для жизни</t>
  </si>
  <si>
    <t>2. НЯ, вызывающие особый интерес (сумма 2.1. - 2.13)</t>
  </si>
  <si>
    <t>2.1. Периферическая невропатия (парестезии)</t>
  </si>
  <si>
    <t xml:space="preserve">2.2. Психические расстройства и токсичности центральной нервной системы (н-р: депрессия, психоз, суицидальные мысли, судороги)  </t>
  </si>
  <si>
    <t>2.3. Расстройство зрительного нерва (неврит зрительного нерва) или ретинопатия</t>
  </si>
  <si>
    <t xml:space="preserve">2.4. Ототоксичность (нарушение слуха, потеря слуха) </t>
  </si>
  <si>
    <t>2.5. Миелосуппрессия (проявляется как анемия, тромбоцитопения, нейропения или лейкопения)</t>
  </si>
  <si>
    <t xml:space="preserve">2.6. Продление интервала QT (коррекция по Фридериксу) </t>
  </si>
  <si>
    <t xml:space="preserve">2.7. Лактоацидоза  </t>
  </si>
  <si>
    <t xml:space="preserve">2.8. Гепатиты (определяется как увеличение АЛАТ или АСАТ ≥5 x верхней границы нормы-ВГН (ULN-upper limit of normal), или повышение уровня АЛАТ или АСАТ ≥3 x ВГН с клиническими проявлениями, или увеличение АЛАТ или АСАТ ≥3 x ВГН с сопутствующим увеличением билирубина ≥1.5 х ВГН)  </t>
  </si>
  <si>
    <t>2.9. Гипотиреоз</t>
  </si>
  <si>
    <t>2.10. Гипокалиемия</t>
  </si>
  <si>
    <t xml:space="preserve">2.11. Панкреатит </t>
  </si>
  <si>
    <t xml:space="preserve">2.12. Фосфолипидоз </t>
  </si>
  <si>
    <t>2.13. Острая почечная недостаточность (нефротоксичность)</t>
  </si>
  <si>
    <t>Таблица 3. Количество серьезных НЯ и НЯ, вызывающие особый интерес в разбивке по возможным предполагаемым препаратам</t>
  </si>
  <si>
    <t>Таблица 4. Список НЯ, требующих применения вспомогательных препаратов</t>
  </si>
  <si>
    <t>Нежелательные явления (24)</t>
  </si>
  <si>
    <t>Количество больных, у которых наблюдались НЯ</t>
  </si>
  <si>
    <t>Таблица 5. Индикаторы ВОЗ для Мониторинга когортных явлений (МКЯ), которые представляются на ежеквартальной основе</t>
  </si>
  <si>
    <t>Регистрационный&lt;br/&gt;номер</t>
  </si>
  <si>
    <t>Имя&lt;br/&gt;пациента</t>
  </si>
  <si>
    <t>Дата&lt;br/&gt;начала&lt;br/&gt;НЯ</t>
  </si>
  <si>
    <t>НЯ</t>
  </si>
  <si>
    <t>Результат&lt;br/&gt;лабораторного&lt;br/&gt;исследования/&lt;br/&gt;функциональное исследование,&lt;br/&gt;подтверждающее НЯ</t>
  </si>
  <si>
    <t xml:space="preserve">НЯ требующих&lt;br/&gt;вспомогательных препаратов&lt;br/&gt;Да/Нет </t>
  </si>
  <si>
    <t>НЯ требующих&lt;br/&gt;изменений в&lt;br/&gt;дозировке лекарств,&lt;br/&gt;режима лечения&lt;br/&gt;или замещения&lt;br/&gt;препарата&lt;br/&gt;Да / Нет</t>
  </si>
  <si>
    <t>Подозреваемый&lt;br/&gt;препарат(ы)&lt;br/&gt;включая все&lt;br/&gt;ПТП и&lt;br/&gt;другие препаратов</t>
  </si>
  <si>
    <t>Подозреваемый&lt;br/&gt;препарат&lt;br/&gt;дата начала&lt;br/&gt;лечения</t>
  </si>
  <si>
    <t>Меры, предпринятые&lt;br/&gt;для устранения НЯ&lt;br/&gt;1.Доза не изменена&lt;br/&gt;2.Доза снижена&lt;br/&gt;3.Временная отмена препарата&lt;br/&gt;4.Полная отмена препарата&lt;br/&gt;5.Назначение вспомогательных  лекарственных средств&lt;br/&gt;6.Дополнительное обследование</t>
  </si>
  <si>
    <t>Результат&lt;br/&gt;предпринятых&lt;br/&gt;мер&lt;br/&gt;1.Устранено&lt;br/&gt;2.Устранено с последствиями&lt;br/&gt;3.Летальный исход&lt;br/&gt;4.В процессе устранения&lt;br/&gt;5.Не устранено</t>
  </si>
  <si>
    <t>Режим лечения&lt;br/&gt;во время&lt;br/&gt;появления НЯ</t>
  </si>
  <si>
    <t>Повторное назначение&lt;br/&gt;препарата&lt;br/&gt;1.Без повторного назначения&lt;br/&gt;2.То же явление повторяется&lt;br/&gt;3.Явление не повторяется&lt;br/&gt;4.Результат неизвестен</t>
  </si>
  <si>
    <t>Решение ЦВКК по&lt;br/&gt;результатам оценки&lt;br/&gt;причинно-&lt;br/&gt;следственной связи&lt;br/&gt;1.Определенная&lt;br/&gt;&lt;br/&gt;2.Вероятная&lt;br/&gt;3.Возможная&lt;br/&gt;4.Сомнительная&lt;br/&gt;5.Неклассифицируемая&lt;br/&gt;6.Неоцениваемая</t>
  </si>
  <si>
    <t>Дата подачи&lt;br/&gt;«Желтой карты»</t>
  </si>
  <si>
    <t>Регистрация НЯ от приема ПТП</t>
  </si>
  <si>
    <t>СНЯ&lt;br/&gt;(1.Смерть&lt;br/&gt;2. Госпитализация/продление&lt;br/&gt;3. Инвалидность&lt;br/&gt;4. Врожденные&lt;br/&gt;аномалии&lt;br/&gt;5. Представляющие&lt;br/&gt;угрозу для жизни</t>
  </si>
  <si>
    <t>НЯ особого интереса&lt;br/&gt;(1.Периферическая невропатия&lt;br/&gt;2.Психические расстройства&lt;br/&gt;и токсичности центральной&lt;br/&gt;нервной системы&lt;br/&gt; 3.Расстройство зрительного&lt;br/&gt;нерва (неврит зрительного нерва)&lt;br/&gt;или ретинопатия,&lt;br/&gt; 4.Ототоксичность&lt;br/&gt; 5.Миелосуппрессия&lt;br/&gt;6.Продление интервала QT&lt;br/&gt;7.Лактоацидоза&lt;br/&gt;8.Гепатиты&lt;br/&gt; 9.Гипотиреоз&lt;br/&gt; 10.Гипокалиемия&lt;br/&gt; 11.Панкреатит&lt;br/&gt; 12.Фосфолипидоз&lt;br/&gt;13.Острая почечная&lt;br/&gt;недостаточность&lt;br/&gt;</t>
  </si>
  <si>
    <t>Параметры отчета</t>
  </si>
  <si>
    <t>Параметры ТБ03</t>
  </si>
  <si>
    <t xml:space="preserve">Параметры Форма 89 </t>
  </si>
  <si>
    <t>Параметры ТБ03y</t>
  </si>
  <si>
    <t>Параметры ТБ07</t>
  </si>
  <si>
    <t>Параметры ТБ07y</t>
  </si>
  <si>
    <t>Параметры ТБ08</t>
  </si>
  <si>
    <t>Параметры ТБ08y</t>
  </si>
  <si>
    <t>Инъек (У/Ч/Н)</t>
  </si>
  <si>
    <t xml:space="preserve">FQ (У/Ч/Н) </t>
  </si>
  <si>
    <t>Тест Хайн 2</t>
  </si>
  <si>
    <t>Номер</t>
  </si>
  <si>
    <t xml:space="preserve"> Беременная</t>
  </si>
  <si>
    <t>Годовой</t>
  </si>
  <si>
    <t>Укажите дату сбора</t>
  </si>
  <si>
    <t>Дата сбора не может быть в будущем</t>
  </si>
  <si>
    <t>Укажите Месяц лечения</t>
  </si>
  <si>
    <t>Укажите дату режимa</t>
  </si>
  <si>
    <t>Дата режимa не может быть в будущем</t>
  </si>
  <si>
    <t>Укажите дату ЦВКК</t>
  </si>
  <si>
    <t>Дата ЦВКК не может быть в будущем</t>
  </si>
  <si>
    <t>Укажите дату регистрации</t>
  </si>
  <si>
    <t>Дата регистрации не может быть в будущем</t>
  </si>
  <si>
    <t>Дата начала лечения не может быть в будущем</t>
  </si>
  <si>
    <t>Дата обследования на ВИЧ не может быть в будущем</t>
  </si>
  <si>
    <t>Дата начала АРТ не может быть в будущем</t>
  </si>
  <si>
    <t>Дата начала ПЛК не может быть в будущем</t>
  </si>
  <si>
    <t>Дата Рентген не может быть в будущем</t>
  </si>
  <si>
    <t>Дата окончания лечения не может быть в будущем</t>
  </si>
  <si>
    <t>Дата подтверждения не может быть в будущем</t>
  </si>
  <si>
    <t>дата смерти подтверждения не может быть в будущем</t>
  </si>
  <si>
    <t>Дата первого обращения за медицинской помощью не может быть в будущем</t>
  </si>
  <si>
    <t>Дата возвращения не может быть в будущем</t>
  </si>
  <si>
    <t>дата обследования не может быть в будущем</t>
  </si>
  <si>
    <t>Дата заполнения Формы 89 не может быть в будущем</t>
  </si>
  <si>
    <t>КВАРТАЛЬНЫЙ ОТЧЕТ О РЕЗУЛЬТАТАХ ЛЕЧЕНИЯ СЛУЧАЕВ ЛУ ТБ,&lt;br/&gt;ВКЛЮЧЕННЫХ В КОГОРТУ ПО &lt;u&gt;КРАТКОСРОЧНОМУ РЕЖИМУ ЛЕЧЕНИЯ&lt;/u&gt; ЛУ ТБ&lt;br/&gt;(заполняется после 9 - 12 месяцев от последней даты квартала или года начала лечения)</t>
  </si>
  <si>
    <t>КВАРТАЛЬНЫЙ ОТЧЕТ О РЕЗУЛЬТАТАХ ЛЕЧЕНИЯ СЛУЧАЕВ ЛУ ТБ,&lt;br/&gt;ВКЛЮЧЕННЫХ В КОГОРТУ ПО &lt;u&gt;ИНДИВИДУАЛЬНОМУ РЕЖИМУ ЛЕЧЕНИЯ&lt;/u&gt; ЛУ ТБ&lt;br/&gt;(заполняется после 24 - 36 месяцев от последней даты квартала или года начала лечения)</t>
  </si>
  <si>
    <t>КВАРТАЛЬНЫЙ ОТЧЕТ О РЕЗУЛЬТАТАХ ЛЕЧЕНИЯ СЛУЧАЕВ ЛУ ТБ,&lt;br/&gt;ВКЛЮЧЕННЫХ В КОГОРТУ ПО &lt;u&gt;СТАНДАРТНОМУ РЕЖИМУ ЛЕЧЕНИЯ&lt;/u&gt; ЛУ ТБ&lt;br/&gt; (заполняется после 24 - 36 месяцев от последней даты квартала или года начала лечения)</t>
  </si>
  <si>
    <t>Наименование учреждения:</t>
  </si>
  <si>
    <t>Область/район:</t>
  </si>
  <si>
    <t>ФИО координатора по ТБ:</t>
  </si>
  <si>
    <t>Подпись:</t>
  </si>
  <si>
    <t>Квартал и год начала лечения: &lt;u&gt;{0}&lt;/u&gt; - &lt;u&gt;{1}&lt;/u&gt;</t>
  </si>
  <si>
    <t>Дата отчета:</t>
  </si>
  <si>
    <t>Регистрационная&lt;br/&gt;группа</t>
  </si>
  <si>
    <t>Всего взято на лечение в течение квартала (когорта)</t>
  </si>
  <si>
    <t>Лечение завершено</t>
  </si>
  <si>
    <t>Успешное лечение (излечен + лечение завершено)</t>
  </si>
  <si>
    <t>Неэффективное лечение</t>
  </si>
  <si>
    <t>Потерян для дальнейшего врачебного наблюдения</t>
  </si>
  <si>
    <t>Результат не оценен (продолжают лечение или переведены)</t>
  </si>
  <si>
    <t>ВСЕГО</t>
  </si>
  <si>
    <t>от других причин</t>
  </si>
  <si>
    <t>Рецидив после режима</t>
  </si>
  <si>
    <t>После отрыва от режима</t>
  </si>
  <si>
    <t>После неэффективного лечения по режиму</t>
  </si>
  <si>
    <t>ИТОГО</t>
  </si>
  <si>
    <t>TB07У</t>
  </si>
  <si>
    <t xml:space="preserve">Квартальный отчет о выявлении и начале лечения случаев ЛУ ТБ </t>
  </si>
  <si>
    <t xml:space="preserve"> 1-Число выявленных ЛУ ТБ случаев в течение квартала: </t>
  </si>
  <si>
    <t xml:space="preserve">2-Число случаев ЛУ ТБ, начавших лечение в течение квартала в разбивке по регистрационной группе: </t>
  </si>
  <si>
    <t xml:space="preserve"> 3-Число случаев ЛУ ТБ, начавших лечение в течение квартала в разбивке по режимам лечения: </t>
  </si>
  <si>
    <t>Случаи, выявленные в &lt;u&gt;{0}&lt;/u&gt; кв. &lt;u&gt;{1}&lt;/u&gt; года</t>
  </si>
  <si>
    <t>Регистрационная группа</t>
  </si>
  <si>
    <t>Общее число выявленных ЛУ ТБ</t>
  </si>
  <si>
    <t>ПЛУ ТБ</t>
  </si>
  <si>
    <t>РУ/МЛУ ТБ</t>
  </si>
  <si>
    <t>пре-ШЛУ ТБ</t>
  </si>
  <si>
    <t>ШЛУ ТБ</t>
  </si>
  <si>
    <t>из них</t>
  </si>
  <si>
    <t>дети</t>
  </si>
  <si>
    <t>из них с ВИЧ</t>
  </si>
  <si>
    <t>Краткосрочный режим лечения</t>
  </si>
  <si>
    <t>Стандартный  режим лечения</t>
  </si>
  <si>
    <t>Индивидуальный режим лечения с Lzd и Cfx</t>
  </si>
  <si>
    <t>Индивидуальный режим лечения с Bdq</t>
  </si>
  <si>
    <t>Пре-ШЛУ/ШЛУ</t>
  </si>
  <si>
    <t>ВСЕГО РУ/МЛУ</t>
  </si>
  <si>
    <t>ВСЕГО пре-ШЛУ/ШЛУ</t>
  </si>
  <si>
    <t>Параметры Форма  № 8</t>
  </si>
  <si>
    <t>МИНИСТЕРСТВО ЗДРАВООХРАНЕНИЯ И СОЦИАЛЬНОЙ ЗАЩИТЫ НАСЕЛЕНИЯ РЕСПУБЛИКИ ТАДЖИКИСТАН ГОСУДАРСТВЕННАЯ СТАТИСТИЧЕСКАЯ ОТЧЕТНОСТЬ</t>
  </si>
  <si>
    <t xml:space="preserve">Коды </t>
  </si>
  <si>
    <t>Код формы по ОКУД</t>
  </si>
  <si>
    <t>Отчитывающейся организации по ОКПО</t>
  </si>
  <si>
    <t>Вида деятельности по ОКЕД</t>
  </si>
  <si>
    <t>Отрасли по ОКОНХ</t>
  </si>
  <si>
    <t>Территории по ОКАТО</t>
  </si>
  <si>
    <t>Министерства (ведомства) органа управления по ОКОГУ</t>
  </si>
  <si>
    <t>Организационно-правовой формы по КОПФ</t>
  </si>
  <si>
    <t>Формы собственности по КФС</t>
  </si>
  <si>
    <t>Кому представляется</t>
  </si>
  <si>
    <t>наименование</t>
  </si>
  <si>
    <t>адрес получателя</t>
  </si>
  <si>
    <t>Утверждена  Постановлением Государственного  Комитета статистики</t>
  </si>
  <si>
    <t>Республики Таджикистан  № 54 от 11.11.2013г</t>
  </si>
  <si>
    <t>Почтовая - годовая</t>
  </si>
  <si>
    <t>Представляют:&lt;br/&gt;Областные, республиканские, районные, городские центры по борьбе с туберкулезом, по указанию вышестоящих органов здравоохранения, ведущие территориальный регистр (картотеку) больных туберкулезом и получающие с этой целью извещения о вновь выявленных заболеваниях - органу управления здравоохранением территории ( города, района, области, республики) - 5-го января ;&lt;/br&gt;Органы управления здравоохранением территории сводный отчет по городу, району, области  - Республиканскому центру по борьбе с туберкулезом, Республиканский центр по борьбе с туберкулезом сводный отчет в разрезе городов, районов, областей и республики - Республиканскому Центру медицинской статистики и информации МЗ РТ - в установленные последним сроки;&lt;br/&gt;Республиканский Центр медицинской статистики и информации МЗ РТ – &lt;br/&gt;Государственному Комитету статистики  Республики Таджикистан – 20 марта.</t>
  </si>
  <si>
    <t>Адрес учреждения</t>
  </si>
  <si>
    <t>Форма собственности  &lt;u&gt;государственная&lt;/u&gt;</t>
  </si>
  <si>
    <t>ОТЧЕТ О ЗАБОЛЕВАНИЯХ АКТИВНЫМ ТУБЕРКУЛЕЗОМ</t>
  </si>
  <si>
    <t>за {0} год</t>
  </si>
  <si>
    <t>город</t>
  </si>
  <si>
    <t>1. Впервые выявленные активные больные туберкулезом</t>
  </si>
  <si>
    <t>2. Контингент больных</t>
  </si>
  <si>
    <t>3. Движение контингентов больных</t>
  </si>
  <si>
    <t>4. Больничная и санаторная помощь больным</t>
  </si>
  <si>
    <t>5. Работа в туберкулезных очагах</t>
  </si>
  <si>
    <t>5А. Бацилловыделители туберкулеза</t>
  </si>
  <si>
    <t>5Б. Контактные с больным туберкулезом</t>
  </si>
  <si>
    <t>6. Отчет о результатах лечения случаев ТБ, выявленных 12-15 месяцев назад</t>
  </si>
  <si>
    <t>Наименование</t>
  </si>
  <si>
    <t>Код МКБ-10</t>
  </si>
  <si>
    <t>№ cтроки</t>
  </si>
  <si>
    <t>года</t>
  </si>
  <si>
    <t>в том числе</t>
  </si>
  <si>
    <t>лет и стар.</t>
  </si>
  <si>
    <t>в т.ч. cельские жители</t>
  </si>
  <si>
    <t>Активные больные туберкулезом – всего</t>
  </si>
  <si>
    <t>В том числе: &lt;br/&gt;Туберкулез органов дыхания</t>
  </si>
  <si>
    <t>Нервная система</t>
  </si>
  <si>
    <t>Другие органы</t>
  </si>
  <si>
    <t>Миллиарный</t>
  </si>
  <si>
    <t xml:space="preserve"> &lt;b&gt;Из общего числа:&lt;/b&gt;&lt;br/&gt;- ЛУ ТБ                </t>
  </si>
  <si>
    <t xml:space="preserve"> - cельские жители</t>
  </si>
  <si>
    <t>Больные на учете</t>
  </si>
  <si>
    <t>Снятие с учета больные</t>
  </si>
  <si>
    <t>Больные, взятые на учет</t>
  </si>
  <si>
    <t>Контингент больных на конец отчетного года</t>
  </si>
  <si>
    <t>В том, числе в ПМСП</t>
  </si>
  <si>
    <t xml:space="preserve"> - в фазе распада</t>
  </si>
  <si>
    <t>Из числа больных с впервые в жизни установленным диагнозом активного туберкулеза (А15-16) выявлено при профилактических осмотрах: всего (1) &lt;u&gt;{0}&lt;/u&gt; в т.ч. 0-14 лет (2) &lt;u&gt;{1}&lt;/u&gt;, 15-17 лет (3) &lt;u&gt;{2}&lt;/u&gt;, 18-19 лет (4) &lt;u&gt;{3}&lt;/u&gt;, со стороны специалистов ОЛС (5) &lt;u&gt;{4}&lt;/u&gt;, аз стороны фтизиатров (6) &lt;u&gt;{5}&lt;/u&gt; и других специалистов (7) &lt;u&gt;{6}&lt;/u&gt;</t>
  </si>
  <si>
    <t xml:space="preserve">Из числа детей, состоявших на учете, направлены в санаторные ясли, ясли-сады и детские сады (8)______,санаторные школы-интернаты и летние школы (9) _______ </t>
  </si>
  <si>
    <t>Из числа впервые взятых  на учет  отчетного года очаговый &lt;u&gt;{0}&lt;/u&gt;,  инфильтративный  &lt;u&gt;{1}&lt;/u&gt;,  диссеминированный &lt;u&gt;{2}&lt;/u&gt;, кавернозный &lt;u&gt;{3}&lt;/u&gt;, фиброзно-каверзный &lt;u&gt;{4}&lt;/u&gt;, цирротический &lt;u&gt;{5}&lt;/u&gt;, первичный туберкулезный комплекс &lt;u&gt;{6}&lt;/u&gt;, миллираный &lt;u&gt;{7}&lt;/u&gt;, туберкулома &lt;u&gt;{8}&lt;/u&gt;, бронхов &lt;u&gt;{9}&lt;/u&gt;, плеврит &lt;u&gt;{10}&lt;/u&gt;, внутригрудных лимфоузлов &lt;u&gt;{11}&lt;/u&gt;, костно-суставной &lt;u&gt;{12}&lt;/u&gt;, мочеполовых органов &lt;u&gt;{13}&lt;/u&gt;, периферических лимфоузло &lt;u&gt;{14}&lt;/u&gt;, абдоминальный &lt;u&gt;{15}&lt;/u&gt;, кожи &lt;u&gt;{16}&lt;/u&gt;, глаз &lt;u&gt;{17}&lt;/u&gt;, нервной системы &lt;u&gt;{18}&lt;/u&gt;, печень &lt;u&gt;{19}&lt;/u&gt;</t>
  </si>
  <si>
    <t>Из числа впервые выявленных, которые взяты на учет в отчетный период: женщины детородного возраста (15-49) &lt;u&gt;{0}&lt;/u&gt;; из них беременные &lt;u&gt;{1}&lt;/u&gt;; контактные &lt;u&gt;{2}&lt;/u&gt;; мигранты &lt;u&gt;{3}&lt;/u&gt;; работники ПМСП &lt;u&gt;{4}&lt;/u&gt;, работники ТБ службы &lt;u&gt;{5}&lt;/u&gt;</t>
  </si>
  <si>
    <t>Количество повторных больных, которые взяты на учет в отчетный период: рецидивы &lt;u&gt;{0}&lt;/u&gt;, после неэффективного лечения &lt;u&gt;{1}&lt;/u&gt;, после отрыва от леченина &lt;u&gt;{2}&lt;/u&gt;, другие &lt;u&gt;{3}&lt;/u&gt;.</t>
  </si>
  <si>
    <t>В связи с излечением переведено в отчетном году из 1 групп: в II группу (контрольную)</t>
  </si>
  <si>
    <t>В связи с активизацией процесса переведено из: II группы   в I группу</t>
  </si>
  <si>
    <t>Больные в Рецидивом</t>
  </si>
  <si>
    <t>Переведено больных активным туберкулезом:&lt;br/&gt;&amp;nbsp;&amp;nbsp;&amp;nbsp;&amp;nbsp;из других учреждений</t>
  </si>
  <si>
    <t>&amp;nbsp;&amp;nbsp;&amp;nbsp;&amp;nbsp;в другие учреждения</t>
  </si>
  <si>
    <t>Снято в связи с изменением диагноза на нетуберкулезный</t>
  </si>
  <si>
    <t>Умерло от туберкулеза, всего (строка 08+13)</t>
  </si>
  <si>
    <t>в том числе: - от активных форм туберкулеза</t>
  </si>
  <si>
    <t>- дети 0-17 лет</t>
  </si>
  <si>
    <t>От сочетанного ВИЧ/ТБ</t>
  </si>
  <si>
    <t>От других заболевани</t>
  </si>
  <si>
    <t xml:space="preserve">Госпитализировано активным туберкулезом, всего </t>
  </si>
  <si>
    <t>в больнице</t>
  </si>
  <si>
    <t>в санатории</t>
  </si>
  <si>
    <t>Впервые выявленные, всего</t>
  </si>
  <si>
    <t>МБТ+</t>
  </si>
  <si>
    <t>остальные больные</t>
  </si>
  <si>
    <t>Оперированные больные, всего: (1)         , в том числе по поводу органов дыхания (2) ____, в том числе по поводу фиброзно-кавернозного (3)________; костно-суставной (4) _____; мочеполовые органы (5)________; периферические лимфоузлы(6)_________.</t>
  </si>
  <si>
    <t>На начала отчетного года было под наблюдением</t>
  </si>
  <si>
    <t>Вновыь выявленные больные</t>
  </si>
  <si>
    <t>Впервые выявленные с активным туберкулезом</t>
  </si>
  <si>
    <t xml:space="preserve">Повторные </t>
  </si>
  <si>
    <t>Переведно с МТБ+ из других учреждений</t>
  </si>
  <si>
    <t>Перестало выделять МБТ+</t>
  </si>
  <si>
    <t>Выбыло из района обслуживания</t>
  </si>
  <si>
    <t>Умерло от туберкулеза</t>
  </si>
  <si>
    <t>Состоит на конец отчетного года</t>
  </si>
  <si>
    <t>Всего больных туберкулезом органов дыхания, выделяющих микобактерии туберкулеза</t>
  </si>
  <si>
    <t>в том числе сельских жителей</t>
  </si>
  <si>
    <t>Взято на учет</t>
  </si>
  <si>
    <t>Из них обследовано в данном году</t>
  </si>
  <si>
    <t>В том числе в ПМСП и другие ОЛС</t>
  </si>
  <si>
    <t>Получили химиопрофилактику</t>
  </si>
  <si>
    <t>В том числе в ПМСП</t>
  </si>
  <si>
    <t>ВИЧ</t>
  </si>
  <si>
    <t>Снято с учета</t>
  </si>
  <si>
    <t>MDR TB</t>
  </si>
  <si>
    <t>mdrtb.onlyMdrTbPatients</t>
  </si>
  <si>
    <t>Hanya pasien MDR-TB</t>
  </si>
  <si>
    <t>Klinik (kunjungan terakhir)</t>
  </si>
  <si>
    <t>mdrtb.enrollment.startedOnOrAfter</t>
  </si>
  <si>
    <t>Memulai Saat Atau Sesudah</t>
  </si>
  <si>
    <t>mdrtb.enrollment.startedOnOrBefore</t>
  </si>
  <si>
    <t>Memulai Saat Atau Sebelum</t>
  </si>
  <si>
    <t>mdrtb.enrollmentStatus</t>
  </si>
  <si>
    <t>MDR-TB Program Enrollment Status</t>
  </si>
  <si>
    <t>mdrtb.specimen.errors.noResult</t>
  </si>
  <si>
    <t>Please enter a value for at least one of the following: Date Ordered, Date Received, Start Date, Result Date, or Result.</t>
  </si>
  <si>
    <t>or add results for new specimen(s)</t>
  </si>
  <si>
    <t>Six month interim outcome assessment of confirmed MDR-TB cases</t>
  </si>
  <si>
    <t>mdrtb.pleaseEnroll</t>
  </si>
  <si>
    <t>Please enroll patient in MDR-TB program to initialize chart, visits, and treatment tabs</t>
  </si>
  <si>
    <t>Key</t>
  </si>
  <si>
    <t>Value</t>
  </si>
  <si>
    <t>Mother Name</t>
  </si>
  <si>
    <t xml:space="preserve">Here is a list of people who seem similar to the one you are creating. If the person already exists, select them from this list, otherwise click the button below to continue creating a new person. </t>
  </si>
  <si>
    <t>TB03 (Intake Form)</t>
  </si>
  <si>
    <t>TB10u (WHO Form 06)</t>
  </si>
  <si>
    <t>TB07u (WHO Form 05)</t>
  </si>
  <si>
    <t>Add TB03 (Intake Visit)</t>
  </si>
  <si>
    <t>Add Form89 (Follow-up Visit)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</si>
</sst>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F3217-D52D-4D06-8BAC-632AFD5D13D1}">
  <dimension ref="A1:B1335"/>
  <sheetViews>
    <sheetView tabSelected="1" topLeftCell="A1309" workbookViewId="0">
      <selection activeCell="A1327" sqref="A1327"/>
    </sheetView>
  </sheetViews>
  <sheetFormatPr defaultRowHeight="14.4" x14ac:dyDescent="0.3"/>
  <cols>
    <col min="1" max="1" width="58.109375" customWidth="1"/>
    <col min="2" max="2" width="66.5546875" customWidth="1"/>
  </cols>
  <sheetData>
    <row r="1" spans="1:2" x14ac:dyDescent="0.3">
      <c r="A1" t="s">
        <v>3840</v>
      </c>
      <c r="B1" t="s">
        <v>3841</v>
      </c>
    </row>
    <row r="2" spans="1:2" x14ac:dyDescent="0.3">
      <c r="A2" t="s">
        <v>6</v>
      </c>
      <c r="B2" t="s">
        <v>7</v>
      </c>
    </row>
    <row r="3" spans="1:2" x14ac:dyDescent="0.3">
      <c r="A3" t="s">
        <v>1551</v>
      </c>
      <c r="B3" t="s">
        <v>1552</v>
      </c>
    </row>
    <row r="4" spans="1:2" x14ac:dyDescent="0.3">
      <c r="A4" t="s">
        <v>1539</v>
      </c>
      <c r="B4" t="s">
        <v>1540</v>
      </c>
    </row>
    <row r="5" spans="1:2" x14ac:dyDescent="0.3">
      <c r="A5" t="s">
        <v>393</v>
      </c>
      <c r="B5" t="s">
        <v>394</v>
      </c>
    </row>
    <row r="6" spans="1:2" x14ac:dyDescent="0.3">
      <c r="A6" t="s">
        <v>795</v>
      </c>
      <c r="B6" t="s">
        <v>796</v>
      </c>
    </row>
    <row r="7" spans="1:2" x14ac:dyDescent="0.3">
      <c r="A7" t="s">
        <v>604</v>
      </c>
      <c r="B7" t="s">
        <v>605</v>
      </c>
    </row>
    <row r="8" spans="1:2" x14ac:dyDescent="0.3">
      <c r="A8" t="s">
        <v>202</v>
      </c>
      <c r="B8" t="s">
        <v>203</v>
      </c>
    </row>
    <row r="9" spans="1:2" x14ac:dyDescent="0.3">
      <c r="A9" t="s">
        <v>624</v>
      </c>
      <c r="B9" t="s">
        <v>625</v>
      </c>
    </row>
    <row r="10" spans="1:2" x14ac:dyDescent="0.3">
      <c r="A10" t="s">
        <v>757</v>
      </c>
      <c r="B10" t="s">
        <v>758</v>
      </c>
    </row>
    <row r="11" spans="1:2" x14ac:dyDescent="0.3">
      <c r="A11" t="s">
        <v>391</v>
      </c>
      <c r="B11" t="s">
        <v>392</v>
      </c>
    </row>
    <row r="12" spans="1:2" x14ac:dyDescent="0.3">
      <c r="A12" t="s">
        <v>439</v>
      </c>
      <c r="B12" t="s">
        <v>440</v>
      </c>
    </row>
    <row r="13" spans="1:2" x14ac:dyDescent="0.3">
      <c r="A13" t="s">
        <v>421</v>
      </c>
      <c r="B13" t="s">
        <v>422</v>
      </c>
    </row>
    <row r="14" spans="1:2" x14ac:dyDescent="0.3">
      <c r="A14" t="s">
        <v>419</v>
      </c>
      <c r="B14" t="s">
        <v>420</v>
      </c>
    </row>
    <row r="15" spans="1:2" x14ac:dyDescent="0.3">
      <c r="A15" t="s">
        <v>960</v>
      </c>
      <c r="B15" t="s">
        <v>961</v>
      </c>
    </row>
    <row r="16" spans="1:2" x14ac:dyDescent="0.3">
      <c r="A16" t="s">
        <v>1758</v>
      </c>
      <c r="B16" t="s">
        <v>1759</v>
      </c>
    </row>
    <row r="17" spans="1:2" x14ac:dyDescent="0.3">
      <c r="A17" t="s">
        <v>20</v>
      </c>
      <c r="B17" t="s">
        <v>21</v>
      </c>
    </row>
    <row r="18" spans="1:2" x14ac:dyDescent="0.3">
      <c r="A18" t="s">
        <v>1046</v>
      </c>
      <c r="B18" t="s">
        <v>1047</v>
      </c>
    </row>
    <row r="19" spans="1:2" x14ac:dyDescent="0.3">
      <c r="A19" t="s">
        <v>558</v>
      </c>
      <c r="B19" t="s">
        <v>3848</v>
      </c>
    </row>
    <row r="20" spans="1:2" x14ac:dyDescent="0.3">
      <c r="A20" t="s">
        <v>1099</v>
      </c>
      <c r="B20" t="s">
        <v>1100</v>
      </c>
    </row>
    <row r="21" spans="1:2" x14ac:dyDescent="0.3">
      <c r="A21" t="s">
        <v>14</v>
      </c>
      <c r="B21" t="s">
        <v>15</v>
      </c>
    </row>
    <row r="22" spans="1:2" x14ac:dyDescent="0.3">
      <c r="A22" t="s">
        <v>593</v>
      </c>
      <c r="B22" t="s">
        <v>594</v>
      </c>
    </row>
    <row r="23" spans="1:2" x14ac:dyDescent="0.3">
      <c r="A23" t="s">
        <v>557</v>
      </c>
      <c r="B23" t="s">
        <v>3847</v>
      </c>
    </row>
    <row r="24" spans="1:2" x14ac:dyDescent="0.3">
      <c r="A24" t="s">
        <v>302</v>
      </c>
      <c r="B24" t="s">
        <v>303</v>
      </c>
    </row>
    <row r="25" spans="1:2" x14ac:dyDescent="0.3">
      <c r="A25" t="s">
        <v>608</v>
      </c>
      <c r="B25" t="s">
        <v>609</v>
      </c>
    </row>
    <row r="26" spans="1:2" x14ac:dyDescent="0.3">
      <c r="A26" t="s">
        <v>292</v>
      </c>
      <c r="B26" t="s">
        <v>293</v>
      </c>
    </row>
    <row r="27" spans="1:2" x14ac:dyDescent="0.3">
      <c r="A27" t="s">
        <v>781</v>
      </c>
      <c r="B27" t="s">
        <v>782</v>
      </c>
    </row>
    <row r="28" spans="1:2" x14ac:dyDescent="0.3">
      <c r="A28" t="s">
        <v>306</v>
      </c>
      <c r="B28" t="s">
        <v>307</v>
      </c>
    </row>
    <row r="29" spans="1:2" x14ac:dyDescent="0.3">
      <c r="A29" t="s">
        <v>308</v>
      </c>
      <c r="B29" t="s">
        <v>307</v>
      </c>
    </row>
    <row r="30" spans="1:2" x14ac:dyDescent="0.3">
      <c r="A30" t="s">
        <v>309</v>
      </c>
      <c r="B30" t="s">
        <v>310</v>
      </c>
    </row>
    <row r="31" spans="1:2" x14ac:dyDescent="0.3">
      <c r="A31" t="s">
        <v>713</v>
      </c>
      <c r="B31" t="s">
        <v>3836</v>
      </c>
    </row>
    <row r="32" spans="1:2" x14ac:dyDescent="0.3">
      <c r="A32" t="s">
        <v>958</v>
      </c>
      <c r="B32" t="s">
        <v>959</v>
      </c>
    </row>
    <row r="33" spans="1:2" x14ac:dyDescent="0.3">
      <c r="A33" t="s">
        <v>962</v>
      </c>
      <c r="B33" t="s">
        <v>963</v>
      </c>
    </row>
    <row r="34" spans="1:2" x14ac:dyDescent="0.3">
      <c r="A34" t="s">
        <v>1676</v>
      </c>
      <c r="B34" t="s">
        <v>1677</v>
      </c>
    </row>
    <row r="35" spans="1:2" x14ac:dyDescent="0.3">
      <c r="A35" t="s">
        <v>577</v>
      </c>
      <c r="B35" t="s">
        <v>578</v>
      </c>
    </row>
    <row r="36" spans="1:2" x14ac:dyDescent="0.3">
      <c r="A36" t="s">
        <v>561</v>
      </c>
      <c r="B36" t="s">
        <v>562</v>
      </c>
    </row>
    <row r="37" spans="1:2" x14ac:dyDescent="0.3">
      <c r="A37" t="s">
        <v>559</v>
      </c>
      <c r="B37" t="s">
        <v>560</v>
      </c>
    </row>
    <row r="38" spans="1:2" x14ac:dyDescent="0.3">
      <c r="A38" t="s">
        <v>1097</v>
      </c>
      <c r="B38" t="s">
        <v>1098</v>
      </c>
    </row>
    <row r="39" spans="1:2" x14ac:dyDescent="0.3">
      <c r="A39" t="s">
        <v>585</v>
      </c>
      <c r="B39" t="s">
        <v>586</v>
      </c>
    </row>
    <row r="40" spans="1:2" x14ac:dyDescent="0.3">
      <c r="A40" t="s">
        <v>62</v>
      </c>
      <c r="B40" t="s">
        <v>63</v>
      </c>
    </row>
    <row r="41" spans="1:2" x14ac:dyDescent="0.3">
      <c r="A41" t="s">
        <v>64</v>
      </c>
      <c r="B41" t="s">
        <v>63</v>
      </c>
    </row>
    <row r="42" spans="1:2" x14ac:dyDescent="0.3">
      <c r="A42" t="s">
        <v>473</v>
      </c>
      <c r="B42" t="s">
        <v>474</v>
      </c>
    </row>
    <row r="43" spans="1:2" x14ac:dyDescent="0.3">
      <c r="A43" t="s">
        <v>1049</v>
      </c>
      <c r="B43" t="s">
        <v>1050</v>
      </c>
    </row>
    <row r="44" spans="1:2" x14ac:dyDescent="0.3">
      <c r="A44" t="s">
        <v>1573</v>
      </c>
      <c r="B44" t="s">
        <v>1574</v>
      </c>
    </row>
    <row r="45" spans="1:2" x14ac:dyDescent="0.3">
      <c r="A45" t="s">
        <v>2203</v>
      </c>
      <c r="B45" t="s">
        <v>2204</v>
      </c>
    </row>
    <row r="46" spans="1:2" x14ac:dyDescent="0.3">
      <c r="A46" t="s">
        <v>417</v>
      </c>
      <c r="B46" t="s">
        <v>418</v>
      </c>
    </row>
    <row r="47" spans="1:2" x14ac:dyDescent="0.3">
      <c r="A47" t="s">
        <v>136</v>
      </c>
      <c r="B47" t="s">
        <v>137</v>
      </c>
    </row>
    <row r="48" spans="1:2" x14ac:dyDescent="0.3">
      <c r="A48" t="s">
        <v>134</v>
      </c>
      <c r="B48" t="s">
        <v>135</v>
      </c>
    </row>
    <row r="49" spans="1:2" x14ac:dyDescent="0.3">
      <c r="A49" t="s">
        <v>573</v>
      </c>
      <c r="B49" t="s">
        <v>574</v>
      </c>
    </row>
    <row r="50" spans="1:2" x14ac:dyDescent="0.3">
      <c r="A50" t="s">
        <v>610</v>
      </c>
      <c r="B50" t="s">
        <v>611</v>
      </c>
    </row>
    <row r="51" spans="1:2" x14ac:dyDescent="0.3">
      <c r="A51" t="s">
        <v>150</v>
      </c>
      <c r="B51" t="s">
        <v>151</v>
      </c>
    </row>
    <row r="52" spans="1:2" x14ac:dyDescent="0.3">
      <c r="A52" t="s">
        <v>148</v>
      </c>
      <c r="B52" t="s">
        <v>149</v>
      </c>
    </row>
    <row r="53" spans="1:2" x14ac:dyDescent="0.3">
      <c r="A53" t="s">
        <v>755</v>
      </c>
      <c r="B53" t="s">
        <v>756</v>
      </c>
    </row>
    <row r="54" spans="1:2" x14ac:dyDescent="0.3">
      <c r="A54" t="s">
        <v>655</v>
      </c>
      <c r="B54" t="s">
        <v>656</v>
      </c>
    </row>
    <row r="55" spans="1:2" x14ac:dyDescent="0.3">
      <c r="A55" t="s">
        <v>423</v>
      </c>
      <c r="B55" t="s">
        <v>424</v>
      </c>
    </row>
    <row r="56" spans="1:2" x14ac:dyDescent="0.3">
      <c r="A56" t="s">
        <v>34</v>
      </c>
      <c r="B56" t="s">
        <v>35</v>
      </c>
    </row>
    <row r="57" spans="1:2" x14ac:dyDescent="0.3">
      <c r="A57" t="s">
        <v>737</v>
      </c>
      <c r="B57" t="s">
        <v>738</v>
      </c>
    </row>
    <row r="58" spans="1:2" x14ac:dyDescent="0.3">
      <c r="A58" t="s">
        <v>353</v>
      </c>
      <c r="B58" t="s">
        <v>354</v>
      </c>
    </row>
    <row r="59" spans="1:2" x14ac:dyDescent="0.3">
      <c r="A59" t="s">
        <v>849</v>
      </c>
      <c r="B59" t="s">
        <v>850</v>
      </c>
    </row>
    <row r="60" spans="1:2" x14ac:dyDescent="0.3">
      <c r="A60" t="s">
        <v>68</v>
      </c>
      <c r="B60" t="s">
        <v>69</v>
      </c>
    </row>
    <row r="61" spans="1:2" x14ac:dyDescent="0.3">
      <c r="A61" t="s">
        <v>1585</v>
      </c>
      <c r="B61" t="s">
        <v>1586</v>
      </c>
    </row>
    <row r="62" spans="1:2" x14ac:dyDescent="0.3">
      <c r="A62" t="s">
        <v>1575</v>
      </c>
      <c r="B62" t="s">
        <v>1576</v>
      </c>
    </row>
    <row r="63" spans="1:2" x14ac:dyDescent="0.3">
      <c r="A63" t="s">
        <v>1577</v>
      </c>
      <c r="B63" t="s">
        <v>1578</v>
      </c>
    </row>
    <row r="64" spans="1:2" x14ac:dyDescent="0.3">
      <c r="A64" t="s">
        <v>1591</v>
      </c>
      <c r="B64" t="s">
        <v>1592</v>
      </c>
    </row>
    <row r="65" spans="1:2" x14ac:dyDescent="0.3">
      <c r="A65" t="s">
        <v>1587</v>
      </c>
      <c r="B65" t="s">
        <v>1588</v>
      </c>
    </row>
    <row r="66" spans="1:2" x14ac:dyDescent="0.3">
      <c r="A66" t="s">
        <v>1583</v>
      </c>
      <c r="B66" t="s">
        <v>1584</v>
      </c>
    </row>
    <row r="67" spans="1:2" x14ac:dyDescent="0.3">
      <c r="A67" t="s">
        <v>1581</v>
      </c>
      <c r="B67" t="s">
        <v>1582</v>
      </c>
    </row>
    <row r="68" spans="1:2" x14ac:dyDescent="0.3">
      <c r="A68" t="s">
        <v>1589</v>
      </c>
      <c r="B68" t="s">
        <v>1590</v>
      </c>
    </row>
    <row r="69" spans="1:2" x14ac:dyDescent="0.3">
      <c r="A69" t="s">
        <v>1579</v>
      </c>
      <c r="B69" t="s">
        <v>1580</v>
      </c>
    </row>
    <row r="70" spans="1:2" x14ac:dyDescent="0.3">
      <c r="A70" t="s">
        <v>42</v>
      </c>
      <c r="B70" t="s">
        <v>43</v>
      </c>
    </row>
    <row r="71" spans="1:2" x14ac:dyDescent="0.3">
      <c r="A71" t="s">
        <v>218</v>
      </c>
      <c r="B71" t="s">
        <v>219</v>
      </c>
    </row>
    <row r="72" spans="1:2" x14ac:dyDescent="0.3">
      <c r="A72" t="s">
        <v>651</v>
      </c>
      <c r="B72" t="s">
        <v>652</v>
      </c>
    </row>
    <row r="73" spans="1:2" x14ac:dyDescent="0.3">
      <c r="A73" t="s">
        <v>841</v>
      </c>
      <c r="B73" t="s">
        <v>842</v>
      </c>
    </row>
    <row r="74" spans="1:2" x14ac:dyDescent="0.3">
      <c r="A74" t="s">
        <v>789</v>
      </c>
      <c r="B74" t="s">
        <v>790</v>
      </c>
    </row>
    <row r="75" spans="1:2" x14ac:dyDescent="0.3">
      <c r="A75" t="s">
        <v>791</v>
      </c>
      <c r="B75" t="s">
        <v>792</v>
      </c>
    </row>
    <row r="76" spans="1:2" x14ac:dyDescent="0.3">
      <c r="A76" t="s">
        <v>805</v>
      </c>
      <c r="B76" t="s">
        <v>806</v>
      </c>
    </row>
    <row r="77" spans="1:2" x14ac:dyDescent="0.3">
      <c r="A77" t="s">
        <v>811</v>
      </c>
      <c r="B77" t="s">
        <v>812</v>
      </c>
    </row>
    <row r="78" spans="1:2" x14ac:dyDescent="0.3">
      <c r="A78" t="s">
        <v>520</v>
      </c>
      <c r="B78" t="s">
        <v>521</v>
      </c>
    </row>
    <row r="79" spans="1:2" x14ac:dyDescent="0.3">
      <c r="A79" t="s">
        <v>349</v>
      </c>
      <c r="B79" t="s">
        <v>350</v>
      </c>
    </row>
    <row r="80" spans="1:2" x14ac:dyDescent="0.3">
      <c r="A80" t="s">
        <v>641</v>
      </c>
      <c r="B80" t="s">
        <v>642</v>
      </c>
    </row>
    <row r="81" spans="1:2" x14ac:dyDescent="0.3">
      <c r="A81" t="s">
        <v>643</v>
      </c>
      <c r="B81" t="s">
        <v>644</v>
      </c>
    </row>
    <row r="82" spans="1:2" x14ac:dyDescent="0.3">
      <c r="A82" t="s">
        <v>313</v>
      </c>
      <c r="B82" t="s">
        <v>314</v>
      </c>
    </row>
    <row r="83" spans="1:2" x14ac:dyDescent="0.3">
      <c r="A83" t="s">
        <v>192</v>
      </c>
      <c r="B83" t="s">
        <v>3827</v>
      </c>
    </row>
    <row r="84" spans="1:2" x14ac:dyDescent="0.3">
      <c r="A84" t="s">
        <v>855</v>
      </c>
      <c r="B84" t="s">
        <v>856</v>
      </c>
    </row>
    <row r="85" spans="1:2" x14ac:dyDescent="0.3">
      <c r="A85" t="s">
        <v>200</v>
      </c>
      <c r="B85" t="s">
        <v>201</v>
      </c>
    </row>
    <row r="86" spans="1:2" x14ac:dyDescent="0.3">
      <c r="A86" t="s">
        <v>606</v>
      </c>
      <c r="B86" t="s">
        <v>607</v>
      </c>
    </row>
    <row r="87" spans="1:2" x14ac:dyDescent="0.3">
      <c r="A87" t="s">
        <v>526</v>
      </c>
      <c r="B87" t="s">
        <v>527</v>
      </c>
    </row>
    <row r="88" spans="1:2" x14ac:dyDescent="0.3">
      <c r="A88" t="s">
        <v>1463</v>
      </c>
      <c r="B88" t="s">
        <v>1464</v>
      </c>
    </row>
    <row r="89" spans="1:2" x14ac:dyDescent="0.3">
      <c r="A89" t="s">
        <v>1442</v>
      </c>
      <c r="B89" t="s">
        <v>1443</v>
      </c>
    </row>
    <row r="90" spans="1:2" x14ac:dyDescent="0.3">
      <c r="A90" t="s">
        <v>395</v>
      </c>
      <c r="B90" t="s">
        <v>396</v>
      </c>
    </row>
    <row r="91" spans="1:2" x14ac:dyDescent="0.3">
      <c r="A91" t="s">
        <v>174</v>
      </c>
      <c r="B91" t="s">
        <v>175</v>
      </c>
    </row>
    <row r="92" spans="1:2" x14ac:dyDescent="0.3">
      <c r="A92" t="s">
        <v>180</v>
      </c>
      <c r="B92" t="s">
        <v>181</v>
      </c>
    </row>
    <row r="93" spans="1:2" x14ac:dyDescent="0.3">
      <c r="A93" t="s">
        <v>80</v>
      </c>
      <c r="B93" t="s">
        <v>81</v>
      </c>
    </row>
    <row r="94" spans="1:2" x14ac:dyDescent="0.3">
      <c r="A94" t="s">
        <v>397</v>
      </c>
      <c r="B94" t="s">
        <v>398</v>
      </c>
    </row>
    <row r="95" spans="1:2" x14ac:dyDescent="0.3">
      <c r="A95" t="s">
        <v>182</v>
      </c>
      <c r="B95" t="s">
        <v>183</v>
      </c>
    </row>
    <row r="96" spans="1:2" x14ac:dyDescent="0.3">
      <c r="A96" t="s">
        <v>204</v>
      </c>
      <c r="B96" t="s">
        <v>205</v>
      </c>
    </row>
    <row r="97" spans="1:2" x14ac:dyDescent="0.3">
      <c r="A97" t="s">
        <v>575</v>
      </c>
      <c r="B97" t="s">
        <v>576</v>
      </c>
    </row>
    <row r="98" spans="1:2" x14ac:dyDescent="0.3">
      <c r="A98" t="s">
        <v>532</v>
      </c>
      <c r="B98" t="s">
        <v>458</v>
      </c>
    </row>
    <row r="99" spans="1:2" x14ac:dyDescent="0.3">
      <c r="A99" t="s">
        <v>172</v>
      </c>
      <c r="B99" t="s">
        <v>173</v>
      </c>
    </row>
    <row r="100" spans="1:2" x14ac:dyDescent="0.3">
      <c r="A100" t="s">
        <v>629</v>
      </c>
      <c r="B100" t="s">
        <v>630</v>
      </c>
    </row>
    <row r="101" spans="1:2" x14ac:dyDescent="0.3">
      <c r="A101" t="s">
        <v>631</v>
      </c>
      <c r="B101" t="s">
        <v>632</v>
      </c>
    </row>
    <row r="102" spans="1:2" x14ac:dyDescent="0.3">
      <c r="A102" t="s">
        <v>595</v>
      </c>
      <c r="B102" t="s">
        <v>596</v>
      </c>
    </row>
    <row r="103" spans="1:2" x14ac:dyDescent="0.3">
      <c r="A103" t="s">
        <v>711</v>
      </c>
      <c r="B103" t="s">
        <v>712</v>
      </c>
    </row>
    <row r="104" spans="1:2" x14ac:dyDescent="0.3">
      <c r="A104" t="s">
        <v>443</v>
      </c>
      <c r="B104" t="s">
        <v>444</v>
      </c>
    </row>
    <row r="105" spans="1:2" x14ac:dyDescent="0.3">
      <c r="A105" t="s">
        <v>441</v>
      </c>
      <c r="B105" t="s">
        <v>442</v>
      </c>
    </row>
    <row r="106" spans="1:2" x14ac:dyDescent="0.3">
      <c r="A106" t="s">
        <v>653</v>
      </c>
      <c r="B106" t="s">
        <v>654</v>
      </c>
    </row>
    <row r="107" spans="1:2" x14ac:dyDescent="0.3">
      <c r="A107" t="s">
        <v>500</v>
      </c>
      <c r="B107" t="s">
        <v>501</v>
      </c>
    </row>
    <row r="108" spans="1:2" x14ac:dyDescent="0.3">
      <c r="A108" t="s">
        <v>333</v>
      </c>
      <c r="B108" t="s">
        <v>334</v>
      </c>
    </row>
    <row r="109" spans="1:2" x14ac:dyDescent="0.3">
      <c r="A109" t="s">
        <v>837</v>
      </c>
      <c r="B109" t="s">
        <v>838</v>
      </c>
    </row>
    <row r="110" spans="1:2" x14ac:dyDescent="0.3">
      <c r="A110" t="s">
        <v>835</v>
      </c>
      <c r="B110" t="s">
        <v>836</v>
      </c>
    </row>
    <row r="111" spans="1:2" x14ac:dyDescent="0.3">
      <c r="A111" t="s">
        <v>801</v>
      </c>
      <c r="B111" t="s">
        <v>802</v>
      </c>
    </row>
    <row r="112" spans="1:2" x14ac:dyDescent="0.3">
      <c r="A112" t="s">
        <v>803</v>
      </c>
      <c r="B112" t="s">
        <v>804</v>
      </c>
    </row>
    <row r="113" spans="1:2" x14ac:dyDescent="0.3">
      <c r="A113" t="s">
        <v>238</v>
      </c>
      <c r="B113" t="s">
        <v>239</v>
      </c>
    </row>
    <row r="114" spans="1:2" x14ac:dyDescent="0.3">
      <c r="A114" t="s">
        <v>272</v>
      </c>
      <c r="B114" t="s">
        <v>273</v>
      </c>
    </row>
    <row r="115" spans="1:2" x14ac:dyDescent="0.3">
      <c r="A115" t="s">
        <v>84</v>
      </c>
      <c r="B115" t="s">
        <v>85</v>
      </c>
    </row>
    <row r="116" spans="1:2" x14ac:dyDescent="0.3">
      <c r="A116" t="s">
        <v>489</v>
      </c>
      <c r="B116" t="s">
        <v>482</v>
      </c>
    </row>
    <row r="117" spans="1:2" x14ac:dyDescent="0.3">
      <c r="A117" t="s">
        <v>1627</v>
      </c>
      <c r="B117" t="s">
        <v>39</v>
      </c>
    </row>
    <row r="118" spans="1:2" x14ac:dyDescent="0.3">
      <c r="A118" t="s">
        <v>429</v>
      </c>
      <c r="B118" t="s">
        <v>430</v>
      </c>
    </row>
    <row r="119" spans="1:2" x14ac:dyDescent="0.3">
      <c r="A119" t="s">
        <v>236</v>
      </c>
      <c r="B119" t="s">
        <v>237</v>
      </c>
    </row>
    <row r="120" spans="1:2" x14ac:dyDescent="0.3">
      <c r="A120" t="s">
        <v>995</v>
      </c>
      <c r="B120" t="s">
        <v>996</v>
      </c>
    </row>
    <row r="121" spans="1:2" x14ac:dyDescent="0.3">
      <c r="A121" t="s">
        <v>581</v>
      </c>
      <c r="B121" t="s">
        <v>582</v>
      </c>
    </row>
    <row r="122" spans="1:2" x14ac:dyDescent="0.3">
      <c r="A122" t="s">
        <v>602</v>
      </c>
      <c r="B122" t="s">
        <v>603</v>
      </c>
    </row>
    <row r="123" spans="1:2" x14ac:dyDescent="0.3">
      <c r="A123" t="s">
        <v>571</v>
      </c>
      <c r="B123" t="s">
        <v>572</v>
      </c>
    </row>
    <row r="124" spans="1:2" x14ac:dyDescent="0.3">
      <c r="A124" t="s">
        <v>989</v>
      </c>
      <c r="B124" t="s">
        <v>990</v>
      </c>
    </row>
    <row r="125" spans="1:2" x14ac:dyDescent="0.3">
      <c r="A125" t="s">
        <v>991</v>
      </c>
      <c r="B125" t="s">
        <v>992</v>
      </c>
    </row>
    <row r="126" spans="1:2" x14ac:dyDescent="0.3">
      <c r="A126" t="s">
        <v>993</v>
      </c>
      <c r="B126" t="s">
        <v>994</v>
      </c>
    </row>
    <row r="127" spans="1:2" x14ac:dyDescent="0.3">
      <c r="A127" t="s">
        <v>244</v>
      </c>
      <c r="B127" t="s">
        <v>245</v>
      </c>
    </row>
    <row r="128" spans="1:2" x14ac:dyDescent="0.3">
      <c r="A128" t="s">
        <v>401</v>
      </c>
      <c r="B128" t="s">
        <v>402</v>
      </c>
    </row>
    <row r="129" spans="1:2" x14ac:dyDescent="0.3">
      <c r="A129" t="s">
        <v>405</v>
      </c>
      <c r="B129" t="s">
        <v>406</v>
      </c>
    </row>
    <row r="130" spans="1:2" x14ac:dyDescent="0.3">
      <c r="A130" t="s">
        <v>246</v>
      </c>
      <c r="B130" t="s">
        <v>247</v>
      </c>
    </row>
    <row r="131" spans="1:2" x14ac:dyDescent="0.3">
      <c r="A131" t="s">
        <v>821</v>
      </c>
      <c r="B131" t="s">
        <v>822</v>
      </c>
    </row>
    <row r="132" spans="1:2" x14ac:dyDescent="0.3">
      <c r="A132" t="s">
        <v>819</v>
      </c>
      <c r="B132" t="s">
        <v>820</v>
      </c>
    </row>
    <row r="133" spans="1:2" x14ac:dyDescent="0.3">
      <c r="A133" t="s">
        <v>1436</v>
      </c>
      <c r="B133" t="s">
        <v>1437</v>
      </c>
    </row>
    <row r="134" spans="1:2" x14ac:dyDescent="0.3">
      <c r="A134" t="s">
        <v>411</v>
      </c>
      <c r="B134" t="s">
        <v>412</v>
      </c>
    </row>
    <row r="135" spans="1:2" x14ac:dyDescent="0.3">
      <c r="A135" t="s">
        <v>389</v>
      </c>
      <c r="B135" t="s">
        <v>390</v>
      </c>
    </row>
    <row r="136" spans="1:2" x14ac:dyDescent="0.3">
      <c r="A136" t="s">
        <v>403</v>
      </c>
      <c r="B136" t="s">
        <v>404</v>
      </c>
    </row>
    <row r="137" spans="1:2" x14ac:dyDescent="0.3">
      <c r="A137" t="s">
        <v>1052</v>
      </c>
      <c r="B137" t="s">
        <v>1053</v>
      </c>
    </row>
    <row r="138" spans="1:2" x14ac:dyDescent="0.3">
      <c r="A138" t="s">
        <v>614</v>
      </c>
      <c r="B138" t="s">
        <v>615</v>
      </c>
    </row>
    <row r="139" spans="1:2" x14ac:dyDescent="0.3">
      <c r="A139" t="s">
        <v>981</v>
      </c>
      <c r="B139" t="s">
        <v>982</v>
      </c>
    </row>
    <row r="140" spans="1:2" x14ac:dyDescent="0.3">
      <c r="A140" t="s">
        <v>649</v>
      </c>
      <c r="B140" t="s">
        <v>650</v>
      </c>
    </row>
    <row r="141" spans="1:2" x14ac:dyDescent="0.3">
      <c r="A141" t="s">
        <v>166</v>
      </c>
      <c r="B141" t="s">
        <v>167</v>
      </c>
    </row>
    <row r="142" spans="1:2" x14ac:dyDescent="0.3">
      <c r="A142" t="s">
        <v>825</v>
      </c>
      <c r="B142" t="s">
        <v>826</v>
      </c>
    </row>
    <row r="143" spans="1:2" x14ac:dyDescent="0.3">
      <c r="A143" t="s">
        <v>164</v>
      </c>
      <c r="B143" t="s">
        <v>165</v>
      </c>
    </row>
    <row r="144" spans="1:2" x14ac:dyDescent="0.3">
      <c r="A144" t="s">
        <v>40</v>
      </c>
      <c r="B144" t="s">
        <v>41</v>
      </c>
    </row>
    <row r="145" spans="1:2" x14ac:dyDescent="0.3">
      <c r="A145" t="s">
        <v>709</v>
      </c>
      <c r="B145" t="s">
        <v>710</v>
      </c>
    </row>
    <row r="146" spans="1:2" x14ac:dyDescent="0.3">
      <c r="A146" t="s">
        <v>296</v>
      </c>
      <c r="B146" t="s">
        <v>297</v>
      </c>
    </row>
    <row r="147" spans="1:2" x14ac:dyDescent="0.3">
      <c r="A147" t="s">
        <v>483</v>
      </c>
      <c r="B147" t="s">
        <v>484</v>
      </c>
    </row>
    <row r="148" spans="1:2" x14ac:dyDescent="0.3">
      <c r="A148" t="s">
        <v>1416</v>
      </c>
      <c r="B148" t="s">
        <v>1417</v>
      </c>
    </row>
    <row r="149" spans="1:2" x14ac:dyDescent="0.3">
      <c r="A149" t="s">
        <v>1424</v>
      </c>
      <c r="B149" t="s">
        <v>1425</v>
      </c>
    </row>
    <row r="150" spans="1:2" x14ac:dyDescent="0.3">
      <c r="A150" t="s">
        <v>475</v>
      </c>
      <c r="B150" t="s">
        <v>476</v>
      </c>
    </row>
    <row r="151" spans="1:2" x14ac:dyDescent="0.3">
      <c r="A151" t="s">
        <v>1408</v>
      </c>
      <c r="B151" t="s">
        <v>1409</v>
      </c>
    </row>
    <row r="152" spans="1:2" x14ac:dyDescent="0.3">
      <c r="A152" t="s">
        <v>176</v>
      </c>
      <c r="B152" t="s">
        <v>177</v>
      </c>
    </row>
    <row r="153" spans="1:2" x14ac:dyDescent="0.3">
      <c r="A153" t="s">
        <v>399</v>
      </c>
      <c r="B153" t="s">
        <v>400</v>
      </c>
    </row>
    <row r="154" spans="1:2" x14ac:dyDescent="0.3">
      <c r="A154" t="s">
        <v>587</v>
      </c>
      <c r="B154" t="s">
        <v>588</v>
      </c>
    </row>
    <row r="155" spans="1:2" x14ac:dyDescent="0.3">
      <c r="A155" t="s">
        <v>1400</v>
      </c>
      <c r="B155" t="s">
        <v>1401</v>
      </c>
    </row>
    <row r="156" spans="1:2" x14ac:dyDescent="0.3">
      <c r="A156" t="s">
        <v>214</v>
      </c>
      <c r="B156" t="s">
        <v>215</v>
      </c>
    </row>
    <row r="157" spans="1:2" x14ac:dyDescent="0.3">
      <c r="A157" t="s">
        <v>216</v>
      </c>
      <c r="B157" t="s">
        <v>217</v>
      </c>
    </row>
    <row r="158" spans="1:2" x14ac:dyDescent="0.3">
      <c r="A158" t="s">
        <v>2205</v>
      </c>
      <c r="B158" t="s">
        <v>2206</v>
      </c>
    </row>
    <row r="159" spans="1:2" x14ac:dyDescent="0.3">
      <c r="A159" t="s">
        <v>240</v>
      </c>
      <c r="B159" t="s">
        <v>241</v>
      </c>
    </row>
    <row r="160" spans="1:2" x14ac:dyDescent="0.3">
      <c r="A160" t="s">
        <v>46</v>
      </c>
      <c r="B160" t="s">
        <v>47</v>
      </c>
    </row>
    <row r="161" spans="1:2" x14ac:dyDescent="0.3">
      <c r="A161" t="s">
        <v>753</v>
      </c>
      <c r="B161" t="s">
        <v>754</v>
      </c>
    </row>
    <row r="162" spans="1:2" x14ac:dyDescent="0.3">
      <c r="A162" t="s">
        <v>1537</v>
      </c>
      <c r="B162" t="s">
        <v>1538</v>
      </c>
    </row>
    <row r="163" spans="1:2" x14ac:dyDescent="0.3">
      <c r="A163" t="s">
        <v>1535</v>
      </c>
      <c r="B163" t="s">
        <v>1536</v>
      </c>
    </row>
    <row r="164" spans="1:2" x14ac:dyDescent="0.3">
      <c r="A164" t="s">
        <v>1133</v>
      </c>
      <c r="B164" t="s">
        <v>1134</v>
      </c>
    </row>
    <row r="165" spans="1:2" x14ac:dyDescent="0.3">
      <c r="A165" t="s">
        <v>1135</v>
      </c>
      <c r="B165" t="s">
        <v>1010</v>
      </c>
    </row>
    <row r="166" spans="1:2" x14ac:dyDescent="0.3">
      <c r="A166" t="s">
        <v>1121</v>
      </c>
      <c r="B166" t="s">
        <v>1122</v>
      </c>
    </row>
    <row r="167" spans="1:2" x14ac:dyDescent="0.3">
      <c r="A167" t="s">
        <v>1123</v>
      </c>
      <c r="B167" t="s">
        <v>1124</v>
      </c>
    </row>
    <row r="168" spans="1:2" x14ac:dyDescent="0.3">
      <c r="A168" t="s">
        <v>1127</v>
      </c>
      <c r="B168" t="s">
        <v>1128</v>
      </c>
    </row>
    <row r="169" spans="1:2" x14ac:dyDescent="0.3">
      <c r="A169" t="s">
        <v>1129</v>
      </c>
      <c r="B169" t="s">
        <v>1130</v>
      </c>
    </row>
    <row r="170" spans="1:2" x14ac:dyDescent="0.3">
      <c r="A170" t="s">
        <v>1125</v>
      </c>
      <c r="B170" t="s">
        <v>1126</v>
      </c>
    </row>
    <row r="171" spans="1:2" x14ac:dyDescent="0.3">
      <c r="A171" t="s">
        <v>1117</v>
      </c>
      <c r="B171" t="s">
        <v>1118</v>
      </c>
    </row>
    <row r="172" spans="1:2" x14ac:dyDescent="0.3">
      <c r="A172" t="s">
        <v>1388</v>
      </c>
      <c r="B172" t="s">
        <v>1165</v>
      </c>
    </row>
    <row r="173" spans="1:2" x14ac:dyDescent="0.3">
      <c r="A173" t="s">
        <v>1668</v>
      </c>
      <c r="B173" t="s">
        <v>1669</v>
      </c>
    </row>
    <row r="174" spans="1:2" x14ac:dyDescent="0.3">
      <c r="A174" t="s">
        <v>1666</v>
      </c>
      <c r="B174" t="s">
        <v>1667</v>
      </c>
    </row>
    <row r="175" spans="1:2" x14ac:dyDescent="0.3">
      <c r="A175" t="s">
        <v>1394</v>
      </c>
      <c r="B175" t="s">
        <v>1395</v>
      </c>
    </row>
    <row r="176" spans="1:2" x14ac:dyDescent="0.3">
      <c r="A176" t="s">
        <v>1386</v>
      </c>
      <c r="B176" t="s">
        <v>977</v>
      </c>
    </row>
    <row r="177" spans="1:2" x14ac:dyDescent="0.3">
      <c r="A177" t="s">
        <v>1389</v>
      </c>
      <c r="B177" t="s">
        <v>31</v>
      </c>
    </row>
    <row r="178" spans="1:2" x14ac:dyDescent="0.3">
      <c r="A178" t="s">
        <v>1367</v>
      </c>
      <c r="B178" t="s">
        <v>1368</v>
      </c>
    </row>
    <row r="179" spans="1:2" x14ac:dyDescent="0.3">
      <c r="A179" t="s">
        <v>1670</v>
      </c>
      <c r="B179" t="s">
        <v>1671</v>
      </c>
    </row>
    <row r="180" spans="1:2" x14ac:dyDescent="0.3">
      <c r="A180" t="s">
        <v>1369</v>
      </c>
      <c r="B180" t="s">
        <v>1370</v>
      </c>
    </row>
    <row r="181" spans="1:2" x14ac:dyDescent="0.3">
      <c r="A181" t="s">
        <v>1373</v>
      </c>
      <c r="B181" t="s">
        <v>1374</v>
      </c>
    </row>
    <row r="182" spans="1:2" x14ac:dyDescent="0.3">
      <c r="A182" t="s">
        <v>1365</v>
      </c>
      <c r="B182" t="s">
        <v>1366</v>
      </c>
    </row>
    <row r="183" spans="1:2" x14ac:dyDescent="0.3">
      <c r="A183" t="s">
        <v>1377</v>
      </c>
      <c r="B183" t="s">
        <v>1378</v>
      </c>
    </row>
    <row r="184" spans="1:2" x14ac:dyDescent="0.3">
      <c r="A184" t="s">
        <v>1371</v>
      </c>
      <c r="B184" t="s">
        <v>1372</v>
      </c>
    </row>
    <row r="185" spans="1:2" x14ac:dyDescent="0.3">
      <c r="A185" t="s">
        <v>1361</v>
      </c>
      <c r="B185" t="s">
        <v>1362</v>
      </c>
    </row>
    <row r="186" spans="1:2" x14ac:dyDescent="0.3">
      <c r="A186" t="s">
        <v>1363</v>
      </c>
      <c r="B186" t="s">
        <v>1364</v>
      </c>
    </row>
    <row r="187" spans="1:2" x14ac:dyDescent="0.3">
      <c r="A187" t="s">
        <v>1379</v>
      </c>
      <c r="B187" t="s">
        <v>1380</v>
      </c>
    </row>
    <row r="188" spans="1:2" x14ac:dyDescent="0.3">
      <c r="A188" t="s">
        <v>1381</v>
      </c>
      <c r="B188" t="s">
        <v>1382</v>
      </c>
    </row>
    <row r="189" spans="1:2" x14ac:dyDescent="0.3">
      <c r="A189" t="s">
        <v>1383</v>
      </c>
      <c r="B189" t="s">
        <v>1384</v>
      </c>
    </row>
    <row r="190" spans="1:2" x14ac:dyDescent="0.3">
      <c r="A190" t="s">
        <v>1398</v>
      </c>
      <c r="B190" t="s">
        <v>1399</v>
      </c>
    </row>
    <row r="191" spans="1:2" x14ac:dyDescent="0.3">
      <c r="A191" t="s">
        <v>1396</v>
      </c>
      <c r="B191" t="s">
        <v>1397</v>
      </c>
    </row>
    <row r="192" spans="1:2" x14ac:dyDescent="0.3">
      <c r="A192" t="s">
        <v>1375</v>
      </c>
      <c r="B192" t="s">
        <v>1376</v>
      </c>
    </row>
    <row r="193" spans="1:2" x14ac:dyDescent="0.3">
      <c r="A193" t="s">
        <v>1390</v>
      </c>
      <c r="B193" t="s">
        <v>1391</v>
      </c>
    </row>
    <row r="194" spans="1:2" x14ac:dyDescent="0.3">
      <c r="A194" t="s">
        <v>1392</v>
      </c>
      <c r="B194" t="s">
        <v>1393</v>
      </c>
    </row>
    <row r="195" spans="1:2" x14ac:dyDescent="0.3">
      <c r="A195" t="s">
        <v>1385</v>
      </c>
      <c r="B195" t="s">
        <v>969</v>
      </c>
    </row>
    <row r="196" spans="1:2" x14ac:dyDescent="0.3">
      <c r="A196" t="s">
        <v>1387</v>
      </c>
      <c r="B196" t="s">
        <v>1150</v>
      </c>
    </row>
    <row r="197" spans="1:2" x14ac:dyDescent="0.3">
      <c r="A197" t="s">
        <v>1359</v>
      </c>
      <c r="B197" t="s">
        <v>1360</v>
      </c>
    </row>
    <row r="198" spans="1:2" x14ac:dyDescent="0.3">
      <c r="A198" t="s">
        <v>1755</v>
      </c>
      <c r="B198" t="s">
        <v>1754</v>
      </c>
    </row>
    <row r="199" spans="1:2" x14ac:dyDescent="0.3">
      <c r="A199" t="s">
        <v>1756</v>
      </c>
      <c r="B199" t="s">
        <v>1757</v>
      </c>
    </row>
    <row r="200" spans="1:2" x14ac:dyDescent="0.3">
      <c r="A200" t="s">
        <v>1593</v>
      </c>
      <c r="B200" t="s">
        <v>1594</v>
      </c>
    </row>
    <row r="201" spans="1:2" x14ac:dyDescent="0.3">
      <c r="A201" t="s">
        <v>1601</v>
      </c>
      <c r="B201" t="s">
        <v>1602</v>
      </c>
    </row>
    <row r="202" spans="1:2" x14ac:dyDescent="0.3">
      <c r="A202" t="s">
        <v>1603</v>
      </c>
      <c r="B202" t="s">
        <v>1604</v>
      </c>
    </row>
    <row r="203" spans="1:2" x14ac:dyDescent="0.3">
      <c r="A203" t="s">
        <v>36</v>
      </c>
      <c r="B203" t="s">
        <v>37</v>
      </c>
    </row>
    <row r="204" spans="1:2" x14ac:dyDescent="0.3">
      <c r="A204" t="s">
        <v>956</v>
      </c>
      <c r="B204" t="s">
        <v>957</v>
      </c>
    </row>
    <row r="205" spans="1:2" x14ac:dyDescent="0.3">
      <c r="A205" t="s">
        <v>771</v>
      </c>
      <c r="B205" t="s">
        <v>772</v>
      </c>
    </row>
    <row r="206" spans="1:2" x14ac:dyDescent="0.3">
      <c r="A206" t="s">
        <v>767</v>
      </c>
      <c r="B206" t="s">
        <v>768</v>
      </c>
    </row>
    <row r="207" spans="1:2" x14ac:dyDescent="0.3">
      <c r="A207" t="s">
        <v>765</v>
      </c>
      <c r="B207" t="s">
        <v>766</v>
      </c>
    </row>
    <row r="208" spans="1:2" x14ac:dyDescent="0.3">
      <c r="A208" t="s">
        <v>763</v>
      </c>
      <c r="B208" t="s">
        <v>764</v>
      </c>
    </row>
    <row r="209" spans="1:2" x14ac:dyDescent="0.3">
      <c r="A209" t="s">
        <v>785</v>
      </c>
      <c r="B209" t="s">
        <v>786</v>
      </c>
    </row>
    <row r="210" spans="1:2" x14ac:dyDescent="0.3">
      <c r="A210" t="s">
        <v>787</v>
      </c>
      <c r="B210" t="s">
        <v>788</v>
      </c>
    </row>
    <row r="211" spans="1:2" x14ac:dyDescent="0.3">
      <c r="A211" t="s">
        <v>759</v>
      </c>
      <c r="B211" t="s">
        <v>760</v>
      </c>
    </row>
    <row r="212" spans="1:2" x14ac:dyDescent="0.3">
      <c r="A212" t="s">
        <v>761</v>
      </c>
      <c r="B212" t="s">
        <v>762</v>
      </c>
    </row>
    <row r="213" spans="1:2" x14ac:dyDescent="0.3">
      <c r="A213" t="s">
        <v>28</v>
      </c>
      <c r="B213" t="s">
        <v>29</v>
      </c>
    </row>
    <row r="214" spans="1:2" x14ac:dyDescent="0.3">
      <c r="A214" t="s">
        <v>1059</v>
      </c>
      <c r="B214" t="s">
        <v>1060</v>
      </c>
    </row>
    <row r="215" spans="1:2" x14ac:dyDescent="0.3">
      <c r="A215" t="s">
        <v>1061</v>
      </c>
      <c r="B215" t="s">
        <v>1060</v>
      </c>
    </row>
    <row r="216" spans="1:2" x14ac:dyDescent="0.3">
      <c r="A216" t="s">
        <v>32</v>
      </c>
      <c r="B216" t="s">
        <v>33</v>
      </c>
    </row>
    <row r="217" spans="1:2" x14ac:dyDescent="0.3">
      <c r="A217" t="s">
        <v>589</v>
      </c>
      <c r="B217" t="s">
        <v>590</v>
      </c>
    </row>
    <row r="218" spans="1:2" x14ac:dyDescent="0.3">
      <c r="A218" t="s">
        <v>323</v>
      </c>
      <c r="B218" t="s">
        <v>324</v>
      </c>
    </row>
    <row r="219" spans="1:2" x14ac:dyDescent="0.3">
      <c r="A219" t="s">
        <v>325</v>
      </c>
      <c r="B219" t="s">
        <v>326</v>
      </c>
    </row>
    <row r="220" spans="1:2" x14ac:dyDescent="0.3">
      <c r="A220" t="s">
        <v>345</v>
      </c>
      <c r="B220" t="s">
        <v>346</v>
      </c>
    </row>
    <row r="221" spans="1:2" x14ac:dyDescent="0.3">
      <c r="A221" t="s">
        <v>321</v>
      </c>
      <c r="B221" t="s">
        <v>322</v>
      </c>
    </row>
    <row r="222" spans="1:2" x14ac:dyDescent="0.3">
      <c r="A222" t="s">
        <v>591</v>
      </c>
      <c r="B222" t="s">
        <v>592</v>
      </c>
    </row>
    <row r="223" spans="1:2" x14ac:dyDescent="0.3">
      <c r="A223" t="s">
        <v>1628</v>
      </c>
      <c r="B223" t="s">
        <v>1629</v>
      </c>
    </row>
    <row r="224" spans="1:2" x14ac:dyDescent="0.3">
      <c r="A224" t="s">
        <v>524</v>
      </c>
      <c r="B224" t="s">
        <v>525</v>
      </c>
    </row>
    <row r="225" spans="1:2" x14ac:dyDescent="0.3">
      <c r="A225" t="s">
        <v>300</v>
      </c>
      <c r="B225" t="s">
        <v>301</v>
      </c>
    </row>
    <row r="226" spans="1:2" x14ac:dyDescent="0.3">
      <c r="A226" t="s">
        <v>294</v>
      </c>
      <c r="B226" t="s">
        <v>295</v>
      </c>
    </row>
    <row r="227" spans="1:2" x14ac:dyDescent="0.3">
      <c r="A227" t="s">
        <v>853</v>
      </c>
      <c r="B227" t="s">
        <v>854</v>
      </c>
    </row>
    <row r="228" spans="1:2" x14ac:dyDescent="0.3">
      <c r="A228" t="s">
        <v>1760</v>
      </c>
      <c r="B228" t="s">
        <v>1761</v>
      </c>
    </row>
    <row r="229" spans="1:2" x14ac:dyDescent="0.3">
      <c r="A229" t="s">
        <v>224</v>
      </c>
      <c r="B229" t="s">
        <v>225</v>
      </c>
    </row>
    <row r="230" spans="1:2" x14ac:dyDescent="0.3">
      <c r="A230" t="s">
        <v>779</v>
      </c>
      <c r="B230" t="s">
        <v>780</v>
      </c>
    </row>
    <row r="231" spans="1:2" x14ac:dyDescent="0.3">
      <c r="A231" t="s">
        <v>198</v>
      </c>
      <c r="B231" t="s">
        <v>199</v>
      </c>
    </row>
    <row r="232" spans="1:2" x14ac:dyDescent="0.3">
      <c r="A232" t="s">
        <v>1048</v>
      </c>
      <c r="B232" t="s">
        <v>241</v>
      </c>
    </row>
    <row r="233" spans="1:2" x14ac:dyDescent="0.3">
      <c r="A233" t="s">
        <v>361</v>
      </c>
      <c r="B233" t="s">
        <v>362</v>
      </c>
    </row>
    <row r="234" spans="1:2" x14ac:dyDescent="0.3">
      <c r="A234" t="s">
        <v>457</v>
      </c>
      <c r="B234" t="s">
        <v>458</v>
      </c>
    </row>
    <row r="235" spans="1:2" x14ac:dyDescent="0.3">
      <c r="A235" t="s">
        <v>365</v>
      </c>
      <c r="B235" t="s">
        <v>366</v>
      </c>
    </row>
    <row r="236" spans="1:2" x14ac:dyDescent="0.3">
      <c r="A236" t="s">
        <v>453</v>
      </c>
      <c r="B236" t="s">
        <v>454</v>
      </c>
    </row>
    <row r="237" spans="1:2" x14ac:dyDescent="0.3">
      <c r="A237" t="s">
        <v>528</v>
      </c>
      <c r="B237" t="s">
        <v>529</v>
      </c>
    </row>
    <row r="238" spans="1:2" x14ac:dyDescent="0.3">
      <c r="A238" t="s">
        <v>1605</v>
      </c>
      <c r="B238" t="s">
        <v>1606</v>
      </c>
    </row>
    <row r="239" spans="1:2" x14ac:dyDescent="0.3">
      <c r="A239" t="s">
        <v>530</v>
      </c>
      <c r="B239" t="s">
        <v>531</v>
      </c>
    </row>
    <row r="240" spans="1:2" x14ac:dyDescent="0.3">
      <c r="A240" t="s">
        <v>363</v>
      </c>
      <c r="B240" t="s">
        <v>364</v>
      </c>
    </row>
    <row r="241" spans="1:2" x14ac:dyDescent="0.3">
      <c r="A241" t="s">
        <v>455</v>
      </c>
      <c r="B241" t="s">
        <v>456</v>
      </c>
    </row>
    <row r="242" spans="1:2" x14ac:dyDescent="0.3">
      <c r="A242" t="s">
        <v>1402</v>
      </c>
      <c r="B242" t="s">
        <v>1403</v>
      </c>
    </row>
    <row r="243" spans="1:2" x14ac:dyDescent="0.3">
      <c r="A243" t="s">
        <v>369</v>
      </c>
      <c r="B243" t="s">
        <v>370</v>
      </c>
    </row>
    <row r="244" spans="1:2" x14ac:dyDescent="0.3">
      <c r="A244" t="s">
        <v>367</v>
      </c>
      <c r="B244" t="s">
        <v>368</v>
      </c>
    </row>
    <row r="245" spans="1:2" x14ac:dyDescent="0.3">
      <c r="A245" t="s">
        <v>3828</v>
      </c>
      <c r="B245" t="s">
        <v>3829</v>
      </c>
    </row>
    <row r="246" spans="1:2" x14ac:dyDescent="0.3">
      <c r="A246" t="s">
        <v>3830</v>
      </c>
      <c r="B246" t="s">
        <v>3831</v>
      </c>
    </row>
    <row r="247" spans="1:2" x14ac:dyDescent="0.3">
      <c r="A247" t="s">
        <v>1404</v>
      </c>
      <c r="B247" t="s">
        <v>1405</v>
      </c>
    </row>
    <row r="248" spans="1:2" x14ac:dyDescent="0.3">
      <c r="A248" t="s">
        <v>3832</v>
      </c>
      <c r="B248" t="s">
        <v>3833</v>
      </c>
    </row>
    <row r="249" spans="1:2" x14ac:dyDescent="0.3">
      <c r="A249" t="s">
        <v>721</v>
      </c>
      <c r="B249" t="s">
        <v>722</v>
      </c>
    </row>
    <row r="250" spans="1:2" x14ac:dyDescent="0.3">
      <c r="A250" t="s">
        <v>1662</v>
      </c>
      <c r="B250" t="s">
        <v>1663</v>
      </c>
    </row>
    <row r="251" spans="1:2" x14ac:dyDescent="0.3">
      <c r="A251" t="s">
        <v>2229</v>
      </c>
      <c r="B251" t="s">
        <v>2230</v>
      </c>
    </row>
    <row r="252" spans="1:2" x14ac:dyDescent="0.3">
      <c r="A252" t="s">
        <v>2219</v>
      </c>
      <c r="B252" t="s">
        <v>2220</v>
      </c>
    </row>
    <row r="253" spans="1:2" x14ac:dyDescent="0.3">
      <c r="A253" t="s">
        <v>2209</v>
      </c>
      <c r="B253" t="s">
        <v>2210</v>
      </c>
    </row>
    <row r="254" spans="1:2" x14ac:dyDescent="0.3">
      <c r="A254" t="s">
        <v>2237</v>
      </c>
      <c r="B254" t="s">
        <v>2238</v>
      </c>
    </row>
    <row r="255" spans="1:2" x14ac:dyDescent="0.3">
      <c r="A255" t="s">
        <v>2245</v>
      </c>
      <c r="B255" t="s">
        <v>2246</v>
      </c>
    </row>
    <row r="256" spans="1:2" x14ac:dyDescent="0.3">
      <c r="A256" t="s">
        <v>2243</v>
      </c>
      <c r="B256" t="s">
        <v>2244</v>
      </c>
    </row>
    <row r="257" spans="1:2" x14ac:dyDescent="0.3">
      <c r="A257" t="s">
        <v>2239</v>
      </c>
      <c r="B257" t="s">
        <v>2240</v>
      </c>
    </row>
    <row r="258" spans="1:2" x14ac:dyDescent="0.3">
      <c r="A258" t="s">
        <v>2241</v>
      </c>
      <c r="B258" t="s">
        <v>2242</v>
      </c>
    </row>
    <row r="259" spans="1:2" x14ac:dyDescent="0.3">
      <c r="A259" t="s">
        <v>2247</v>
      </c>
      <c r="B259" t="s">
        <v>2248</v>
      </c>
    </row>
    <row r="260" spans="1:2" x14ac:dyDescent="0.3">
      <c r="A260" t="s">
        <v>2227</v>
      </c>
      <c r="B260" t="s">
        <v>2228</v>
      </c>
    </row>
    <row r="261" spans="1:2" x14ac:dyDescent="0.3">
      <c r="A261" t="s">
        <v>2217</v>
      </c>
      <c r="B261" t="s">
        <v>2218</v>
      </c>
    </row>
    <row r="262" spans="1:2" x14ac:dyDescent="0.3">
      <c r="A262" t="s">
        <v>2207</v>
      </c>
      <c r="B262" t="s">
        <v>2208</v>
      </c>
    </row>
    <row r="263" spans="1:2" x14ac:dyDescent="0.3">
      <c r="A263" t="s">
        <v>2213</v>
      </c>
      <c r="B263" t="s">
        <v>2214</v>
      </c>
    </row>
    <row r="264" spans="1:2" x14ac:dyDescent="0.3">
      <c r="A264" t="s">
        <v>2221</v>
      </c>
      <c r="B264" t="s">
        <v>2222</v>
      </c>
    </row>
    <row r="265" spans="1:2" x14ac:dyDescent="0.3">
      <c r="A265" t="s">
        <v>2211</v>
      </c>
      <c r="B265" t="s">
        <v>2212</v>
      </c>
    </row>
    <row r="266" spans="1:2" x14ac:dyDescent="0.3">
      <c r="A266" t="s">
        <v>2231</v>
      </c>
      <c r="B266" t="s">
        <v>2232</v>
      </c>
    </row>
    <row r="267" spans="1:2" x14ac:dyDescent="0.3">
      <c r="A267" t="s">
        <v>1022</v>
      </c>
      <c r="B267" t="s">
        <v>1023</v>
      </c>
    </row>
    <row r="268" spans="1:2" x14ac:dyDescent="0.3">
      <c r="A268" t="s">
        <v>1024</v>
      </c>
      <c r="B268" t="s">
        <v>1025</v>
      </c>
    </row>
    <row r="269" spans="1:2" x14ac:dyDescent="0.3">
      <c r="A269" t="s">
        <v>1026</v>
      </c>
      <c r="B269" t="s">
        <v>1027</v>
      </c>
    </row>
    <row r="270" spans="1:2" x14ac:dyDescent="0.3">
      <c r="A270" t="s">
        <v>2215</v>
      </c>
      <c r="B270" t="s">
        <v>2216</v>
      </c>
    </row>
    <row r="271" spans="1:2" x14ac:dyDescent="0.3">
      <c r="A271" t="s">
        <v>2223</v>
      </c>
      <c r="B271" t="s">
        <v>2224</v>
      </c>
    </row>
    <row r="272" spans="1:2" x14ac:dyDescent="0.3">
      <c r="A272" t="s">
        <v>2235</v>
      </c>
      <c r="B272" t="s">
        <v>2236</v>
      </c>
    </row>
    <row r="273" spans="1:2" x14ac:dyDescent="0.3">
      <c r="A273" t="s">
        <v>2225</v>
      </c>
      <c r="B273" t="s">
        <v>2226</v>
      </c>
    </row>
    <row r="274" spans="1:2" x14ac:dyDescent="0.3">
      <c r="A274" t="s">
        <v>2233</v>
      </c>
      <c r="B274" t="s">
        <v>2234</v>
      </c>
    </row>
    <row r="275" spans="1:2" x14ac:dyDescent="0.3">
      <c r="A275" t="s">
        <v>1105</v>
      </c>
      <c r="B275" t="s">
        <v>1106</v>
      </c>
    </row>
    <row r="276" spans="1:2" x14ac:dyDescent="0.3">
      <c r="A276" t="s">
        <v>739</v>
      </c>
      <c r="B276" t="s">
        <v>740</v>
      </c>
    </row>
    <row r="277" spans="1:2" x14ac:dyDescent="0.3">
      <c r="A277" t="s">
        <v>637</v>
      </c>
      <c r="B277" t="s">
        <v>638</v>
      </c>
    </row>
    <row r="278" spans="1:2" x14ac:dyDescent="0.3">
      <c r="A278" t="s">
        <v>1459</v>
      </c>
      <c r="B278" t="s">
        <v>1460</v>
      </c>
    </row>
    <row r="279" spans="1:2" x14ac:dyDescent="0.3">
      <c r="A279" t="s">
        <v>1461</v>
      </c>
      <c r="B279" t="s">
        <v>1462</v>
      </c>
    </row>
    <row r="280" spans="1:2" x14ac:dyDescent="0.3">
      <c r="A280" t="s">
        <v>254</v>
      </c>
      <c r="B280" t="s">
        <v>255</v>
      </c>
    </row>
    <row r="281" spans="1:2" x14ac:dyDescent="0.3">
      <c r="A281" t="s">
        <v>1644</v>
      </c>
      <c r="B281" t="s">
        <v>1645</v>
      </c>
    </row>
    <row r="282" spans="1:2" x14ac:dyDescent="0.3">
      <c r="A282" t="s">
        <v>1020</v>
      </c>
      <c r="B282" t="s">
        <v>1021</v>
      </c>
    </row>
    <row r="283" spans="1:2" x14ac:dyDescent="0.3">
      <c r="A283" t="s">
        <v>284</v>
      </c>
      <c r="B283" t="s">
        <v>285</v>
      </c>
    </row>
    <row r="284" spans="1:2" x14ac:dyDescent="0.3">
      <c r="A284" t="s">
        <v>128</v>
      </c>
      <c r="B284" t="s">
        <v>129</v>
      </c>
    </row>
    <row r="285" spans="1:2" x14ac:dyDescent="0.3">
      <c r="A285" t="s">
        <v>126</v>
      </c>
      <c r="B285" t="s">
        <v>127</v>
      </c>
    </row>
    <row r="286" spans="1:2" x14ac:dyDescent="0.3">
      <c r="A286" t="s">
        <v>288</v>
      </c>
      <c r="B286" t="s">
        <v>289</v>
      </c>
    </row>
    <row r="287" spans="1:2" x14ac:dyDescent="0.3">
      <c r="A287" t="s">
        <v>327</v>
      </c>
      <c r="B287" t="s">
        <v>328</v>
      </c>
    </row>
    <row r="288" spans="1:2" x14ac:dyDescent="0.3">
      <c r="A288" t="s">
        <v>56</v>
      </c>
      <c r="B288" t="s">
        <v>57</v>
      </c>
    </row>
    <row r="289" spans="1:2" x14ac:dyDescent="0.3">
      <c r="A289" t="s">
        <v>972</v>
      </c>
      <c r="B289" t="s">
        <v>973</v>
      </c>
    </row>
    <row r="290" spans="1:2" x14ac:dyDescent="0.3">
      <c r="A290" t="s">
        <v>599</v>
      </c>
      <c r="B290" t="s">
        <v>552</v>
      </c>
    </row>
    <row r="291" spans="1:2" x14ac:dyDescent="0.3">
      <c r="A291" t="s">
        <v>551</v>
      </c>
      <c r="B291" t="s">
        <v>552</v>
      </c>
    </row>
    <row r="292" spans="1:2" x14ac:dyDescent="0.3">
      <c r="A292" t="s">
        <v>657</v>
      </c>
      <c r="B292" t="s">
        <v>658</v>
      </c>
    </row>
    <row r="293" spans="1:2" x14ac:dyDescent="0.3">
      <c r="A293" t="s">
        <v>659</v>
      </c>
      <c r="B293" t="s">
        <v>382</v>
      </c>
    </row>
    <row r="294" spans="1:2" x14ac:dyDescent="0.3">
      <c r="A294" t="s">
        <v>660</v>
      </c>
      <c r="B294" t="s">
        <v>661</v>
      </c>
    </row>
    <row r="295" spans="1:2" x14ac:dyDescent="0.3">
      <c r="A295" t="s">
        <v>1040</v>
      </c>
      <c r="B295" t="s">
        <v>1041</v>
      </c>
    </row>
    <row r="296" spans="1:2" x14ac:dyDescent="0.3">
      <c r="A296" t="s">
        <v>1044</v>
      </c>
      <c r="B296" t="s">
        <v>1045</v>
      </c>
    </row>
    <row r="297" spans="1:2" x14ac:dyDescent="0.3">
      <c r="A297" t="s">
        <v>1042</v>
      </c>
      <c r="B297" t="s">
        <v>1043</v>
      </c>
    </row>
    <row r="298" spans="1:2" x14ac:dyDescent="0.3">
      <c r="A298" t="s">
        <v>1038</v>
      </c>
      <c r="B298" t="s">
        <v>1039</v>
      </c>
    </row>
    <row r="299" spans="1:2" x14ac:dyDescent="0.3">
      <c r="A299" t="s">
        <v>1036</v>
      </c>
      <c r="B299" t="s">
        <v>1037</v>
      </c>
    </row>
    <row r="300" spans="1:2" x14ac:dyDescent="0.3">
      <c r="A300" t="s">
        <v>997</v>
      </c>
      <c r="B300" t="s">
        <v>3846</v>
      </c>
    </row>
    <row r="301" spans="1:2" x14ac:dyDescent="0.3">
      <c r="A301" t="s">
        <v>1003</v>
      </c>
      <c r="B301" t="s">
        <v>1004</v>
      </c>
    </row>
    <row r="302" spans="1:2" x14ac:dyDescent="0.3">
      <c r="A302" t="s">
        <v>999</v>
      </c>
      <c r="B302" t="s">
        <v>3845</v>
      </c>
    </row>
    <row r="303" spans="1:2" x14ac:dyDescent="0.3">
      <c r="A303" t="s">
        <v>1005</v>
      </c>
      <c r="B303" t="s">
        <v>3837</v>
      </c>
    </row>
    <row r="304" spans="1:2" x14ac:dyDescent="0.3">
      <c r="A304" t="s">
        <v>1001</v>
      </c>
      <c r="B304" t="s">
        <v>1002</v>
      </c>
    </row>
    <row r="305" spans="1:2" x14ac:dyDescent="0.3">
      <c r="A305" t="s">
        <v>1007</v>
      </c>
      <c r="B305" t="s">
        <v>1008</v>
      </c>
    </row>
    <row r="306" spans="1:2" x14ac:dyDescent="0.3">
      <c r="A306" t="s">
        <v>2442</v>
      </c>
      <c r="B306" t="s">
        <v>2443</v>
      </c>
    </row>
    <row r="307" spans="1:2" x14ac:dyDescent="0.3">
      <c r="A307" t="s">
        <v>2501</v>
      </c>
      <c r="B307" t="s">
        <v>2502</v>
      </c>
    </row>
    <row r="308" spans="1:2" x14ac:dyDescent="0.3">
      <c r="A308" t="s">
        <v>2425</v>
      </c>
      <c r="B308" t="s">
        <v>2426</v>
      </c>
    </row>
    <row r="309" spans="1:2" x14ac:dyDescent="0.3">
      <c r="A309" t="s">
        <v>2515</v>
      </c>
      <c r="B309" t="s">
        <v>2516</v>
      </c>
    </row>
    <row r="310" spans="1:2" x14ac:dyDescent="0.3">
      <c r="A310" t="s">
        <v>2531</v>
      </c>
      <c r="B310" t="s">
        <v>2532</v>
      </c>
    </row>
    <row r="311" spans="1:2" x14ac:dyDescent="0.3">
      <c r="A311" t="s">
        <v>2525</v>
      </c>
      <c r="B311" t="s">
        <v>2526</v>
      </c>
    </row>
    <row r="312" spans="1:2" x14ac:dyDescent="0.3">
      <c r="A312" t="s">
        <v>2494</v>
      </c>
      <c r="B312" t="s">
        <v>2495</v>
      </c>
    </row>
    <row r="313" spans="1:2" x14ac:dyDescent="0.3">
      <c r="A313" t="s">
        <v>2493</v>
      </c>
      <c r="B313" t="e" cm="1">
        <f t="array" ref="B313">- died in hospital</f>
        <v>#NAME?</v>
      </c>
    </row>
    <row r="314" spans="1:2" x14ac:dyDescent="0.3">
      <c r="A314" t="s">
        <v>2488</v>
      </c>
      <c r="B314" t="s">
        <v>2489</v>
      </c>
    </row>
    <row r="315" spans="1:2" x14ac:dyDescent="0.3">
      <c r="A315" t="s">
        <v>2529</v>
      </c>
      <c r="B315" t="s">
        <v>2530</v>
      </c>
    </row>
    <row r="316" spans="1:2" x14ac:dyDescent="0.3">
      <c r="A316" t="s">
        <v>2444</v>
      </c>
      <c r="B316" t="s">
        <v>2445</v>
      </c>
    </row>
    <row r="317" spans="1:2" x14ac:dyDescent="0.3">
      <c r="A317" t="s">
        <v>2431</v>
      </c>
      <c r="B317" t="e" cm="1">
        <f t="array" ref="B317">- fibrocavernous</f>
        <v>#NAME?</v>
      </c>
    </row>
    <row r="318" spans="1:2" x14ac:dyDescent="0.3">
      <c r="A318" t="s">
        <v>2507</v>
      </c>
      <c r="B318" t="s">
        <v>2508</v>
      </c>
    </row>
    <row r="319" spans="1:2" x14ac:dyDescent="0.3">
      <c r="A319" t="s">
        <v>2492</v>
      </c>
      <c r="B319" t="e" cm="1">
        <f t="array" ref="B319">- from among the newly registered patients</f>
        <v>#NAME?</v>
      </c>
    </row>
    <row r="320" spans="1:2" x14ac:dyDescent="0.3">
      <c r="A320" t="s">
        <v>2499</v>
      </c>
      <c r="B320" t="s">
        <v>2500</v>
      </c>
    </row>
    <row r="321" spans="1:2" x14ac:dyDescent="0.3">
      <c r="A321" t="s">
        <v>2542</v>
      </c>
      <c r="B321" t="s">
        <v>2543</v>
      </c>
    </row>
    <row r="322" spans="1:2" x14ac:dyDescent="0.3">
      <c r="A322" t="s">
        <v>2476</v>
      </c>
      <c r="B322" t="s">
        <v>2477</v>
      </c>
    </row>
    <row r="323" spans="1:2" x14ac:dyDescent="0.3">
      <c r="A323" t="s">
        <v>2478</v>
      </c>
      <c r="B323" t="s">
        <v>2479</v>
      </c>
    </row>
    <row r="324" spans="1:2" x14ac:dyDescent="0.3">
      <c r="A324" t="s">
        <v>2547</v>
      </c>
      <c r="B324" t="s">
        <v>2548</v>
      </c>
    </row>
    <row r="325" spans="1:2" x14ac:dyDescent="0.3">
      <c r="A325" t="s">
        <v>2412</v>
      </c>
      <c r="B325" t="s">
        <v>2413</v>
      </c>
    </row>
    <row r="326" spans="1:2" x14ac:dyDescent="0.3">
      <c r="A326" t="s">
        <v>2419</v>
      </c>
      <c r="B326" t="s">
        <v>2420</v>
      </c>
    </row>
    <row r="327" spans="1:2" x14ac:dyDescent="0.3">
      <c r="A327" t="s">
        <v>2490</v>
      </c>
      <c r="B327" t="s">
        <v>2491</v>
      </c>
    </row>
    <row r="328" spans="1:2" x14ac:dyDescent="0.3">
      <c r="A328" t="s">
        <v>2545</v>
      </c>
      <c r="B328" t="s">
        <v>2546</v>
      </c>
    </row>
    <row r="329" spans="1:2" x14ac:dyDescent="0.3">
      <c r="A329" t="s">
        <v>2540</v>
      </c>
      <c r="B329" t="s">
        <v>2541</v>
      </c>
    </row>
    <row r="330" spans="1:2" x14ac:dyDescent="0.3">
      <c r="A330" t="s">
        <v>2462</v>
      </c>
      <c r="B330" t="s">
        <v>2463</v>
      </c>
    </row>
    <row r="331" spans="1:2" x14ac:dyDescent="0.3">
      <c r="A331" t="s">
        <v>2448</v>
      </c>
      <c r="B331" t="s">
        <v>2449</v>
      </c>
    </row>
    <row r="332" spans="1:2" x14ac:dyDescent="0.3">
      <c r="A332" t="s">
        <v>2427</v>
      </c>
      <c r="B332" t="s">
        <v>2428</v>
      </c>
    </row>
    <row r="333" spans="1:2" x14ac:dyDescent="0.3">
      <c r="A333" t="s">
        <v>2423</v>
      </c>
      <c r="B333" t="s">
        <v>2424</v>
      </c>
    </row>
    <row r="334" spans="1:2" x14ac:dyDescent="0.3">
      <c r="A334" t="s">
        <v>2535</v>
      </c>
      <c r="B334" t="s">
        <v>2536</v>
      </c>
    </row>
    <row r="335" spans="1:2" x14ac:dyDescent="0.3">
      <c r="A335" t="s">
        <v>2464</v>
      </c>
      <c r="B335" t="s">
        <v>2465</v>
      </c>
    </row>
    <row r="336" spans="1:2" x14ac:dyDescent="0.3">
      <c r="A336" t="s">
        <v>2503</v>
      </c>
      <c r="B336" t="s">
        <v>2504</v>
      </c>
    </row>
    <row r="337" spans="1:2" x14ac:dyDescent="0.3">
      <c r="A337" t="s">
        <v>2505</v>
      </c>
      <c r="B337" t="s">
        <v>2506</v>
      </c>
    </row>
    <row r="338" spans="1:2" x14ac:dyDescent="0.3">
      <c r="A338" t="s">
        <v>2408</v>
      </c>
      <c r="B338" t="s">
        <v>2409</v>
      </c>
    </row>
    <row r="339" spans="1:2" x14ac:dyDescent="0.3">
      <c r="A339" t="s">
        <v>2440</v>
      </c>
      <c r="B339" t="s">
        <v>2441</v>
      </c>
    </row>
    <row r="340" spans="1:2" x14ac:dyDescent="0.3">
      <c r="A340" t="s">
        <v>2349</v>
      </c>
      <c r="B340" t="s">
        <v>2350</v>
      </c>
    </row>
    <row r="341" spans="1:2" x14ac:dyDescent="0.3">
      <c r="A341" t="s">
        <v>2390</v>
      </c>
      <c r="B341" t="s">
        <v>2391</v>
      </c>
    </row>
    <row r="342" spans="1:2" x14ac:dyDescent="0.3">
      <c r="A342" t="s">
        <v>2351</v>
      </c>
      <c r="B342" t="s">
        <v>2352</v>
      </c>
    </row>
    <row r="343" spans="1:2" x14ac:dyDescent="0.3">
      <c r="A343" t="s">
        <v>2353</v>
      </c>
      <c r="B343" t="s">
        <v>2354</v>
      </c>
    </row>
    <row r="344" spans="1:2" x14ac:dyDescent="0.3">
      <c r="A344" t="s">
        <v>2355</v>
      </c>
      <c r="B344" t="s">
        <v>2356</v>
      </c>
    </row>
    <row r="345" spans="1:2" x14ac:dyDescent="0.3">
      <c r="A345" t="s">
        <v>2357</v>
      </c>
      <c r="B345" t="s">
        <v>2358</v>
      </c>
    </row>
    <row r="346" spans="1:2" x14ac:dyDescent="0.3">
      <c r="A346" t="s">
        <v>2359</v>
      </c>
      <c r="B346" t="s">
        <v>2360</v>
      </c>
    </row>
    <row r="347" spans="1:2" x14ac:dyDescent="0.3">
      <c r="A347" t="s">
        <v>2361</v>
      </c>
      <c r="B347" t="s">
        <v>2362</v>
      </c>
    </row>
    <row r="348" spans="1:2" x14ac:dyDescent="0.3">
      <c r="A348" t="s">
        <v>2363</v>
      </c>
      <c r="B348" t="s">
        <v>2364</v>
      </c>
    </row>
    <row r="349" spans="1:2" x14ac:dyDescent="0.3">
      <c r="A349" t="s">
        <v>2365</v>
      </c>
      <c r="B349" t="s">
        <v>2366</v>
      </c>
    </row>
    <row r="350" spans="1:2" x14ac:dyDescent="0.3">
      <c r="A350" t="s">
        <v>2367</v>
      </c>
      <c r="B350" t="s">
        <v>2368</v>
      </c>
    </row>
    <row r="351" spans="1:2" x14ac:dyDescent="0.3">
      <c r="A351" t="s">
        <v>2388</v>
      </c>
      <c r="B351" t="s">
        <v>2389</v>
      </c>
    </row>
    <row r="352" spans="1:2" x14ac:dyDescent="0.3">
      <c r="A352" t="s">
        <v>2382</v>
      </c>
      <c r="B352" t="s">
        <v>2383</v>
      </c>
    </row>
    <row r="353" spans="1:2" x14ac:dyDescent="0.3">
      <c r="A353" t="s">
        <v>2380</v>
      </c>
      <c r="B353" t="s">
        <v>2381</v>
      </c>
    </row>
    <row r="354" spans="1:2" x14ac:dyDescent="0.3">
      <c r="A354" t="s">
        <v>2371</v>
      </c>
      <c r="B354" t="s">
        <v>25</v>
      </c>
    </row>
    <row r="355" spans="1:2" x14ac:dyDescent="0.3">
      <c r="A355" t="s">
        <v>2384</v>
      </c>
      <c r="B355" t="s">
        <v>2385</v>
      </c>
    </row>
    <row r="356" spans="1:2" x14ac:dyDescent="0.3">
      <c r="A356" t="s">
        <v>2378</v>
      </c>
      <c r="B356" t="s">
        <v>2379</v>
      </c>
    </row>
    <row r="357" spans="1:2" x14ac:dyDescent="0.3">
      <c r="A357" t="s">
        <v>2372</v>
      </c>
      <c r="B357" t="s">
        <v>2373</v>
      </c>
    </row>
    <row r="358" spans="1:2" x14ac:dyDescent="0.3">
      <c r="A358" t="s">
        <v>2376</v>
      </c>
      <c r="B358" t="s">
        <v>2377</v>
      </c>
    </row>
    <row r="359" spans="1:2" x14ac:dyDescent="0.3">
      <c r="A359" t="s">
        <v>2374</v>
      </c>
      <c r="B359" t="s">
        <v>2375</v>
      </c>
    </row>
    <row r="360" spans="1:2" x14ac:dyDescent="0.3">
      <c r="A360" t="s">
        <v>2386</v>
      </c>
      <c r="B360" t="s">
        <v>2387</v>
      </c>
    </row>
    <row r="361" spans="1:2" x14ac:dyDescent="0.3">
      <c r="A361" t="s">
        <v>2369</v>
      </c>
      <c r="B361" t="s">
        <v>2370</v>
      </c>
    </row>
    <row r="362" spans="1:2" x14ac:dyDescent="0.3">
      <c r="A362" t="s">
        <v>2446</v>
      </c>
      <c r="B362" t="s">
        <v>2447</v>
      </c>
    </row>
    <row r="363" spans="1:2" x14ac:dyDescent="0.3">
      <c r="A363" t="s">
        <v>2509</v>
      </c>
      <c r="B363" t="s">
        <v>2510</v>
      </c>
    </row>
    <row r="364" spans="1:2" x14ac:dyDescent="0.3">
      <c r="A364" t="s">
        <v>2432</v>
      </c>
      <c r="B364" t="s">
        <v>2433</v>
      </c>
    </row>
    <row r="365" spans="1:2" x14ac:dyDescent="0.3">
      <c r="A365" t="s">
        <v>2519</v>
      </c>
      <c r="B365" t="s">
        <v>2520</v>
      </c>
    </row>
    <row r="366" spans="1:2" x14ac:dyDescent="0.3">
      <c r="A366" t="s">
        <v>2517</v>
      </c>
      <c r="B366" t="s">
        <v>2518</v>
      </c>
    </row>
    <row r="367" spans="1:2" x14ac:dyDescent="0.3">
      <c r="A367" t="s">
        <v>2486</v>
      </c>
      <c r="B367" t="s">
        <v>2487</v>
      </c>
    </row>
    <row r="368" spans="1:2" x14ac:dyDescent="0.3">
      <c r="A368" t="s">
        <v>2496</v>
      </c>
      <c r="B368" t="e" cm="1">
        <f t="array" ref="B368">- patients not registered</f>
        <v>#NAME?</v>
      </c>
    </row>
    <row r="369" spans="1:2" x14ac:dyDescent="0.3">
      <c r="A369" t="s">
        <v>2414</v>
      </c>
      <c r="B369" t="s">
        <v>2415</v>
      </c>
    </row>
    <row r="370" spans="1:2" x14ac:dyDescent="0.3">
      <c r="A370" t="s">
        <v>2551</v>
      </c>
      <c r="B370" t="s">
        <v>2552</v>
      </c>
    </row>
    <row r="371" spans="1:2" x14ac:dyDescent="0.3">
      <c r="A371" t="s">
        <v>2436</v>
      </c>
      <c r="B371" t="s">
        <v>2437</v>
      </c>
    </row>
    <row r="372" spans="1:2" x14ac:dyDescent="0.3">
      <c r="A372" t="s">
        <v>2434</v>
      </c>
      <c r="B372" t="s">
        <v>2435</v>
      </c>
    </row>
    <row r="373" spans="1:2" x14ac:dyDescent="0.3">
      <c r="A373" t="s">
        <v>2511</v>
      </c>
      <c r="B373" t="s">
        <v>2512</v>
      </c>
    </row>
    <row r="374" spans="1:2" x14ac:dyDescent="0.3">
      <c r="A374" t="s">
        <v>2527</v>
      </c>
      <c r="B374" t="s">
        <v>2528</v>
      </c>
    </row>
    <row r="375" spans="1:2" x14ac:dyDescent="0.3">
      <c r="A375" t="s">
        <v>2460</v>
      </c>
      <c r="B375" t="s">
        <v>2461</v>
      </c>
    </row>
    <row r="376" spans="1:2" x14ac:dyDescent="0.3">
      <c r="A376" t="s">
        <v>2456</v>
      </c>
      <c r="B376" t="s">
        <v>2457</v>
      </c>
    </row>
    <row r="377" spans="1:2" x14ac:dyDescent="0.3">
      <c r="A377" t="s">
        <v>2458</v>
      </c>
      <c r="B377" t="s">
        <v>2459</v>
      </c>
    </row>
    <row r="378" spans="1:2" x14ac:dyDescent="0.3">
      <c r="A378" t="s">
        <v>2454</v>
      </c>
      <c r="B378" t="s">
        <v>2455</v>
      </c>
    </row>
    <row r="379" spans="1:2" x14ac:dyDescent="0.3">
      <c r="A379" t="s">
        <v>2429</v>
      </c>
      <c r="B379" t="e" cm="1">
        <f t="array" ref="B379">- pulmonary</f>
        <v>#NAME?</v>
      </c>
    </row>
    <row r="380" spans="1:2" x14ac:dyDescent="0.3">
      <c r="A380" t="s">
        <v>2537</v>
      </c>
      <c r="B380" t="s">
        <v>2269</v>
      </c>
    </row>
    <row r="381" spans="1:2" x14ac:dyDescent="0.3">
      <c r="A381" t="s">
        <v>2480</v>
      </c>
      <c r="B381" t="s">
        <v>2481</v>
      </c>
    </row>
    <row r="382" spans="1:2" x14ac:dyDescent="0.3">
      <c r="A382" t="s">
        <v>2549</v>
      </c>
      <c r="B382" t="s">
        <v>2550</v>
      </c>
    </row>
    <row r="383" spans="1:2" x14ac:dyDescent="0.3">
      <c r="A383" t="s">
        <v>2521</v>
      </c>
      <c r="B383" t="s">
        <v>2522</v>
      </c>
    </row>
    <row r="384" spans="1:2" x14ac:dyDescent="0.3">
      <c r="A384" t="s">
        <v>2452</v>
      </c>
      <c r="B384" t="s">
        <v>2453</v>
      </c>
    </row>
    <row r="385" spans="1:2" x14ac:dyDescent="0.3">
      <c r="A385" t="s">
        <v>2410</v>
      </c>
      <c r="B385" t="s">
        <v>2411</v>
      </c>
    </row>
    <row r="386" spans="1:2" x14ac:dyDescent="0.3">
      <c r="A386" t="s">
        <v>2538</v>
      </c>
      <c r="B386" t="s">
        <v>2539</v>
      </c>
    </row>
    <row r="387" spans="1:2" x14ac:dyDescent="0.3">
      <c r="A387" t="s">
        <v>2466</v>
      </c>
      <c r="B387" t="s">
        <v>2467</v>
      </c>
    </row>
    <row r="388" spans="1:2" x14ac:dyDescent="0.3">
      <c r="A388" t="s">
        <v>2468</v>
      </c>
      <c r="B388" t="s">
        <v>2469</v>
      </c>
    </row>
    <row r="389" spans="1:2" x14ac:dyDescent="0.3">
      <c r="A389" t="s">
        <v>2470</v>
      </c>
      <c r="B389" t="s">
        <v>2471</v>
      </c>
    </row>
    <row r="390" spans="1:2" x14ac:dyDescent="0.3">
      <c r="A390" t="s">
        <v>2472</v>
      </c>
      <c r="B390" t="s">
        <v>2473</v>
      </c>
    </row>
    <row r="391" spans="1:2" x14ac:dyDescent="0.3">
      <c r="A391" t="s">
        <v>2474</v>
      </c>
      <c r="B391" t="s">
        <v>2475</v>
      </c>
    </row>
    <row r="392" spans="1:2" x14ac:dyDescent="0.3">
      <c r="A392" t="s">
        <v>2513</v>
      </c>
      <c r="B392" t="s">
        <v>2514</v>
      </c>
    </row>
    <row r="393" spans="1:2" x14ac:dyDescent="0.3">
      <c r="A393" t="s">
        <v>2392</v>
      </c>
      <c r="B393" t="s">
        <v>2393</v>
      </c>
    </row>
    <row r="394" spans="1:2" x14ac:dyDescent="0.3">
      <c r="A394" t="s">
        <v>2394</v>
      </c>
      <c r="B394" t="s">
        <v>2395</v>
      </c>
    </row>
    <row r="395" spans="1:2" x14ac:dyDescent="0.3">
      <c r="A395" t="s">
        <v>2396</v>
      </c>
      <c r="B395" t="s">
        <v>2397</v>
      </c>
    </row>
    <row r="396" spans="1:2" x14ac:dyDescent="0.3">
      <c r="A396" t="s">
        <v>2398</v>
      </c>
      <c r="B396" t="s">
        <v>2399</v>
      </c>
    </row>
    <row r="397" spans="1:2" x14ac:dyDescent="0.3">
      <c r="A397" t="s">
        <v>2400</v>
      </c>
      <c r="B397" t="s">
        <v>2401</v>
      </c>
    </row>
    <row r="398" spans="1:2" x14ac:dyDescent="0.3">
      <c r="A398" t="s">
        <v>2402</v>
      </c>
      <c r="B398" t="s">
        <v>2403</v>
      </c>
    </row>
    <row r="399" spans="1:2" x14ac:dyDescent="0.3">
      <c r="A399" t="s">
        <v>2404</v>
      </c>
      <c r="B399" t="s">
        <v>2405</v>
      </c>
    </row>
    <row r="400" spans="1:2" x14ac:dyDescent="0.3">
      <c r="A400" t="s">
        <v>2406</v>
      </c>
      <c r="B400" t="s">
        <v>2407</v>
      </c>
    </row>
    <row r="401" spans="1:2" x14ac:dyDescent="0.3">
      <c r="A401" t="s">
        <v>2544</v>
      </c>
      <c r="B401" t="s">
        <v>5</v>
      </c>
    </row>
    <row r="402" spans="1:2" x14ac:dyDescent="0.3">
      <c r="A402" t="s">
        <v>2450</v>
      </c>
      <c r="B402" t="s">
        <v>2451</v>
      </c>
    </row>
    <row r="403" spans="1:2" x14ac:dyDescent="0.3">
      <c r="A403" t="s">
        <v>2497</v>
      </c>
      <c r="B403" t="s">
        <v>2498</v>
      </c>
    </row>
    <row r="404" spans="1:2" x14ac:dyDescent="0.3">
      <c r="A404" t="s">
        <v>1131</v>
      </c>
      <c r="B404" t="s">
        <v>1132</v>
      </c>
    </row>
    <row r="405" spans="1:2" x14ac:dyDescent="0.3">
      <c r="A405" t="s">
        <v>2416</v>
      </c>
      <c r="B405" t="s">
        <v>2057</v>
      </c>
    </row>
    <row r="406" spans="1:2" x14ac:dyDescent="0.3">
      <c r="A406" t="s">
        <v>2533</v>
      </c>
      <c r="B406" t="s">
        <v>2534</v>
      </c>
    </row>
    <row r="407" spans="1:2" x14ac:dyDescent="0.3">
      <c r="A407" t="s">
        <v>2523</v>
      </c>
      <c r="B407" t="s">
        <v>2524</v>
      </c>
    </row>
    <row r="408" spans="1:2" x14ac:dyDescent="0.3">
      <c r="A408" t="s">
        <v>2482</v>
      </c>
      <c r="B408" t="s">
        <v>2483</v>
      </c>
    </row>
    <row r="409" spans="1:2" x14ac:dyDescent="0.3">
      <c r="A409" t="s">
        <v>2484</v>
      </c>
      <c r="B409" t="s">
        <v>2485</v>
      </c>
    </row>
    <row r="410" spans="1:2" x14ac:dyDescent="0.3">
      <c r="A410" t="s">
        <v>2438</v>
      </c>
      <c r="B410" t="s">
        <v>2439</v>
      </c>
    </row>
    <row r="411" spans="1:2" x14ac:dyDescent="0.3">
      <c r="A411" t="s">
        <v>2430</v>
      </c>
      <c r="B411" t="e" cm="1">
        <f t="array" ref="B411">- with bacterioexcretion</f>
        <v>#NAME?</v>
      </c>
    </row>
    <row r="412" spans="1:2" x14ac:dyDescent="0.3">
      <c r="A412" t="s">
        <v>2417</v>
      </c>
      <c r="B412" t="s">
        <v>2418</v>
      </c>
    </row>
    <row r="413" spans="1:2" x14ac:dyDescent="0.3">
      <c r="A413" t="s">
        <v>2421</v>
      </c>
      <c r="B413" t="s">
        <v>2422</v>
      </c>
    </row>
    <row r="414" spans="1:2" x14ac:dyDescent="0.3">
      <c r="A414" t="s">
        <v>1406</v>
      </c>
      <c r="B414" t="s">
        <v>1407</v>
      </c>
    </row>
    <row r="415" spans="1:2" x14ac:dyDescent="0.3">
      <c r="A415" t="s">
        <v>1469</v>
      </c>
      <c r="B415" t="s">
        <v>63</v>
      </c>
    </row>
    <row r="416" spans="1:2" x14ac:dyDescent="0.3">
      <c r="A416" t="s">
        <v>1507</v>
      </c>
      <c r="B416" t="s">
        <v>1508</v>
      </c>
    </row>
    <row r="417" spans="1:2" x14ac:dyDescent="0.3">
      <c r="A417" t="s">
        <v>1480</v>
      </c>
      <c r="B417" t="s">
        <v>1481</v>
      </c>
    </row>
    <row r="418" spans="1:2" x14ac:dyDescent="0.3">
      <c r="A418" t="s">
        <v>1632</v>
      </c>
      <c r="B418" t="s">
        <v>1633</v>
      </c>
    </row>
    <row r="419" spans="1:2" x14ac:dyDescent="0.3">
      <c r="A419" t="s">
        <v>1515</v>
      </c>
      <c r="B419" t="s">
        <v>1516</v>
      </c>
    </row>
    <row r="420" spans="1:2" x14ac:dyDescent="0.3">
      <c r="A420" t="s">
        <v>1517</v>
      </c>
      <c r="B420" t="s">
        <v>1518</v>
      </c>
    </row>
    <row r="421" spans="1:2" x14ac:dyDescent="0.3">
      <c r="A421" t="s">
        <v>1497</v>
      </c>
      <c r="B421" t="s">
        <v>1498</v>
      </c>
    </row>
    <row r="422" spans="1:2" x14ac:dyDescent="0.3">
      <c r="A422" t="s">
        <v>1493</v>
      </c>
      <c r="B422" t="s">
        <v>1494</v>
      </c>
    </row>
    <row r="423" spans="1:2" x14ac:dyDescent="0.3">
      <c r="A423" t="s">
        <v>1523</v>
      </c>
      <c r="B423" t="s">
        <v>1524</v>
      </c>
    </row>
    <row r="424" spans="1:2" x14ac:dyDescent="0.3">
      <c r="A424" t="s">
        <v>1630</v>
      </c>
      <c r="B424" t="s">
        <v>1631</v>
      </c>
    </row>
    <row r="425" spans="1:2" x14ac:dyDescent="0.3">
      <c r="A425" t="s">
        <v>1478</v>
      </c>
      <c r="B425" t="s">
        <v>1479</v>
      </c>
    </row>
    <row r="426" spans="1:2" x14ac:dyDescent="0.3">
      <c r="A426" t="s">
        <v>1491</v>
      </c>
      <c r="B426" t="s">
        <v>1492</v>
      </c>
    </row>
    <row r="427" spans="1:2" x14ac:dyDescent="0.3">
      <c r="A427" t="s">
        <v>1634</v>
      </c>
      <c r="B427" t="s">
        <v>1635</v>
      </c>
    </row>
    <row r="428" spans="1:2" x14ac:dyDescent="0.3">
      <c r="A428" t="s">
        <v>1495</v>
      </c>
      <c r="B428" t="s">
        <v>1496</v>
      </c>
    </row>
    <row r="429" spans="1:2" x14ac:dyDescent="0.3">
      <c r="A429" t="s">
        <v>1488</v>
      </c>
      <c r="B429" t="s">
        <v>1487</v>
      </c>
    </row>
    <row r="430" spans="1:2" x14ac:dyDescent="0.3">
      <c r="A430" t="s">
        <v>1484</v>
      </c>
      <c r="B430" t="s">
        <v>1485</v>
      </c>
    </row>
    <row r="431" spans="1:2" x14ac:dyDescent="0.3">
      <c r="A431" t="s">
        <v>1521</v>
      </c>
      <c r="B431" t="s">
        <v>1522</v>
      </c>
    </row>
    <row r="432" spans="1:2" x14ac:dyDescent="0.3">
      <c r="A432" t="s">
        <v>1511</v>
      </c>
      <c r="B432" t="s">
        <v>1512</v>
      </c>
    </row>
    <row r="433" spans="1:2" x14ac:dyDescent="0.3">
      <c r="A433" t="s">
        <v>1499</v>
      </c>
      <c r="B433" t="s">
        <v>1500</v>
      </c>
    </row>
    <row r="434" spans="1:2" x14ac:dyDescent="0.3">
      <c r="A434" t="s">
        <v>1505</v>
      </c>
      <c r="B434" t="s">
        <v>1506</v>
      </c>
    </row>
    <row r="435" spans="1:2" x14ac:dyDescent="0.3">
      <c r="A435" t="s">
        <v>1513</v>
      </c>
      <c r="B435" t="s">
        <v>1514</v>
      </c>
    </row>
    <row r="436" spans="1:2" x14ac:dyDescent="0.3">
      <c r="A436" t="s">
        <v>1470</v>
      </c>
      <c r="B436" t="s">
        <v>1471</v>
      </c>
    </row>
    <row r="437" spans="1:2" x14ac:dyDescent="0.3">
      <c r="A437" t="s">
        <v>1503</v>
      </c>
      <c r="B437" t="s">
        <v>1504</v>
      </c>
    </row>
    <row r="438" spans="1:2" x14ac:dyDescent="0.3">
      <c r="A438" t="s">
        <v>1482</v>
      </c>
      <c r="B438" t="s">
        <v>1483</v>
      </c>
    </row>
    <row r="439" spans="1:2" x14ac:dyDescent="0.3">
      <c r="A439" t="s">
        <v>1607</v>
      </c>
      <c r="B439" t="s">
        <v>1608</v>
      </c>
    </row>
    <row r="440" spans="1:2" x14ac:dyDescent="0.3">
      <c r="A440" t="s">
        <v>1509</v>
      </c>
      <c r="B440" t="s">
        <v>185</v>
      </c>
    </row>
    <row r="441" spans="1:2" x14ac:dyDescent="0.3">
      <c r="A441" t="s">
        <v>1510</v>
      </c>
      <c r="B441" t="s">
        <v>1087</v>
      </c>
    </row>
    <row r="442" spans="1:2" x14ac:dyDescent="0.3">
      <c r="A442" t="s">
        <v>1638</v>
      </c>
      <c r="B442" t="s">
        <v>1639</v>
      </c>
    </row>
    <row r="443" spans="1:2" x14ac:dyDescent="0.3">
      <c r="A443" t="s">
        <v>1636</v>
      </c>
      <c r="B443" t="s">
        <v>1637</v>
      </c>
    </row>
    <row r="444" spans="1:2" x14ac:dyDescent="0.3">
      <c r="A444" t="s">
        <v>1476</v>
      </c>
      <c r="B444" t="s">
        <v>1477</v>
      </c>
    </row>
    <row r="445" spans="1:2" x14ac:dyDescent="0.3">
      <c r="A445" t="s">
        <v>1474</v>
      </c>
      <c r="B445" t="s">
        <v>1475</v>
      </c>
    </row>
    <row r="446" spans="1:2" x14ac:dyDescent="0.3">
      <c r="A446" t="s">
        <v>1519</v>
      </c>
      <c r="B446" t="s">
        <v>1520</v>
      </c>
    </row>
    <row r="447" spans="1:2" x14ac:dyDescent="0.3">
      <c r="A447" t="s">
        <v>1489</v>
      </c>
      <c r="B447" t="s">
        <v>1490</v>
      </c>
    </row>
    <row r="448" spans="1:2" x14ac:dyDescent="0.3">
      <c r="A448" t="s">
        <v>1472</v>
      </c>
      <c r="B448" t="s">
        <v>1473</v>
      </c>
    </row>
    <row r="449" spans="1:2" x14ac:dyDescent="0.3">
      <c r="A449" t="s">
        <v>1486</v>
      </c>
      <c r="B449" t="s">
        <v>1487</v>
      </c>
    </row>
    <row r="450" spans="1:2" x14ac:dyDescent="0.3">
      <c r="A450" t="s">
        <v>1467</v>
      </c>
      <c r="B450" t="s">
        <v>1468</v>
      </c>
    </row>
    <row r="451" spans="1:2" x14ac:dyDescent="0.3">
      <c r="A451" t="s">
        <v>1501</v>
      </c>
      <c r="B451" t="s">
        <v>1502</v>
      </c>
    </row>
    <row r="452" spans="1:2" x14ac:dyDescent="0.3">
      <c r="A452" t="s">
        <v>2182</v>
      </c>
      <c r="B452" t="s">
        <v>2183</v>
      </c>
    </row>
    <row r="453" spans="1:2" x14ac:dyDescent="0.3">
      <c r="A453" t="s">
        <v>2347</v>
      </c>
      <c r="B453" t="s">
        <v>2348</v>
      </c>
    </row>
    <row r="454" spans="1:2" x14ac:dyDescent="0.3">
      <c r="A454" t="s">
        <v>847</v>
      </c>
      <c r="B454" t="s">
        <v>848</v>
      </c>
    </row>
    <row r="455" spans="1:2" x14ac:dyDescent="0.3">
      <c r="A455" t="s">
        <v>751</v>
      </c>
      <c r="B455" t="s">
        <v>752</v>
      </c>
    </row>
    <row r="456" spans="1:2" x14ac:dyDescent="0.3">
      <c r="A456" t="s">
        <v>1615</v>
      </c>
      <c r="B456" t="s">
        <v>1616</v>
      </c>
    </row>
    <row r="457" spans="1:2" x14ac:dyDescent="0.3">
      <c r="A457" t="s">
        <v>208</v>
      </c>
      <c r="B457" t="s">
        <v>209</v>
      </c>
    </row>
    <row r="458" spans="1:2" x14ac:dyDescent="0.3">
      <c r="A458" t="s">
        <v>110</v>
      </c>
      <c r="B458" t="s">
        <v>111</v>
      </c>
    </row>
    <row r="459" spans="1:2" x14ac:dyDescent="0.3">
      <c r="A459" t="s">
        <v>112</v>
      </c>
      <c r="B459" t="s">
        <v>113</v>
      </c>
    </row>
    <row r="460" spans="1:2" x14ac:dyDescent="0.3">
      <c r="A460" t="s">
        <v>979</v>
      </c>
      <c r="B460" t="s">
        <v>980</v>
      </c>
    </row>
    <row r="461" spans="1:2" x14ac:dyDescent="0.3">
      <c r="A461" t="s">
        <v>976</v>
      </c>
      <c r="B461" t="s">
        <v>977</v>
      </c>
    </row>
    <row r="462" spans="1:2" x14ac:dyDescent="0.3">
      <c r="A462" t="s">
        <v>30</v>
      </c>
      <c r="B462" t="s">
        <v>31</v>
      </c>
    </row>
    <row r="463" spans="1:2" x14ac:dyDescent="0.3">
      <c r="A463" t="s">
        <v>628</v>
      </c>
      <c r="B463" t="s">
        <v>352</v>
      </c>
    </row>
    <row r="464" spans="1:2" x14ac:dyDescent="0.3">
      <c r="A464" t="s">
        <v>291</v>
      </c>
      <c r="B464" t="s">
        <v>289</v>
      </c>
    </row>
    <row r="465" spans="1:2" x14ac:dyDescent="0.3">
      <c r="A465" t="s">
        <v>290</v>
      </c>
      <c r="B465" t="s">
        <v>287</v>
      </c>
    </row>
    <row r="466" spans="1:2" x14ac:dyDescent="0.3">
      <c r="A466" t="s">
        <v>1532</v>
      </c>
      <c r="B466" t="s">
        <v>1533</v>
      </c>
    </row>
    <row r="467" spans="1:2" x14ac:dyDescent="0.3">
      <c r="A467" t="s">
        <v>282</v>
      </c>
      <c r="B467" t="s">
        <v>283</v>
      </c>
    </row>
    <row r="468" spans="1:2" x14ac:dyDescent="0.3">
      <c r="A468" t="s">
        <v>1101</v>
      </c>
      <c r="B468" t="s">
        <v>1102</v>
      </c>
    </row>
    <row r="469" spans="1:2" x14ac:dyDescent="0.3">
      <c r="A469" t="s">
        <v>1624</v>
      </c>
      <c r="B469" t="s">
        <v>1102</v>
      </c>
    </row>
    <row r="470" spans="1:2" x14ac:dyDescent="0.3">
      <c r="A470" t="s">
        <v>1625</v>
      </c>
      <c r="B470" t="s">
        <v>1626</v>
      </c>
    </row>
    <row r="471" spans="1:2" x14ac:dyDescent="0.3">
      <c r="A471" t="s">
        <v>1430</v>
      </c>
      <c r="B471" t="s">
        <v>1423</v>
      </c>
    </row>
    <row r="472" spans="1:2" x14ac:dyDescent="0.3">
      <c r="A472" t="s">
        <v>1113</v>
      </c>
      <c r="B472" t="s">
        <v>1114</v>
      </c>
    </row>
    <row r="473" spans="1:2" x14ac:dyDescent="0.3">
      <c r="A473" t="s">
        <v>1422</v>
      </c>
      <c r="B473" t="s">
        <v>1423</v>
      </c>
    </row>
    <row r="474" spans="1:2" x14ac:dyDescent="0.3">
      <c r="A474" t="s">
        <v>1111</v>
      </c>
      <c r="B474" t="s">
        <v>1112</v>
      </c>
    </row>
    <row r="475" spans="1:2" x14ac:dyDescent="0.3">
      <c r="A475" t="s">
        <v>70</v>
      </c>
      <c r="B475" t="s">
        <v>71</v>
      </c>
    </row>
    <row r="476" spans="1:2" x14ac:dyDescent="0.3">
      <c r="A476" t="s">
        <v>266</v>
      </c>
      <c r="B476" t="s">
        <v>267</v>
      </c>
    </row>
    <row r="477" spans="1:2" x14ac:dyDescent="0.3">
      <c r="A477" t="s">
        <v>262</v>
      </c>
      <c r="B477" t="s">
        <v>263</v>
      </c>
    </row>
    <row r="478" spans="1:2" x14ac:dyDescent="0.3">
      <c r="A478" t="s">
        <v>264</v>
      </c>
      <c r="B478" t="s">
        <v>265</v>
      </c>
    </row>
    <row r="479" spans="1:2" x14ac:dyDescent="0.3">
      <c r="A479" t="s">
        <v>258</v>
      </c>
      <c r="B479" t="s">
        <v>259</v>
      </c>
    </row>
    <row r="480" spans="1:2" x14ac:dyDescent="0.3">
      <c r="A480" t="s">
        <v>565</v>
      </c>
      <c r="B480" t="s">
        <v>566</v>
      </c>
    </row>
    <row r="481" spans="1:2" x14ac:dyDescent="0.3">
      <c r="A481" t="s">
        <v>579</v>
      </c>
      <c r="B481" t="s">
        <v>580</v>
      </c>
    </row>
    <row r="482" spans="1:2" x14ac:dyDescent="0.3">
      <c r="A482" t="s">
        <v>22</v>
      </c>
      <c r="B482" t="s">
        <v>23</v>
      </c>
    </row>
    <row r="483" spans="1:2" x14ac:dyDescent="0.3">
      <c r="A483" t="s">
        <v>746</v>
      </c>
      <c r="B483" t="s">
        <v>257</v>
      </c>
    </row>
    <row r="484" spans="1:2" x14ac:dyDescent="0.3">
      <c r="A484" t="s">
        <v>741</v>
      </c>
      <c r="B484" t="s">
        <v>742</v>
      </c>
    </row>
    <row r="485" spans="1:2" x14ac:dyDescent="0.3">
      <c r="A485" t="s">
        <v>743</v>
      </c>
      <c r="B485" t="s">
        <v>744</v>
      </c>
    </row>
    <row r="486" spans="1:2" x14ac:dyDescent="0.3">
      <c r="A486" t="s">
        <v>1660</v>
      </c>
      <c r="B486" t="s">
        <v>1661</v>
      </c>
    </row>
    <row r="487" spans="1:2" x14ac:dyDescent="0.3">
      <c r="A487" t="s">
        <v>880</v>
      </c>
      <c r="B487" t="s">
        <v>881</v>
      </c>
    </row>
    <row r="488" spans="1:2" x14ac:dyDescent="0.3">
      <c r="A488" t="s">
        <v>882</v>
      </c>
      <c r="B488" t="s">
        <v>883</v>
      </c>
    </row>
    <row r="489" spans="1:2" x14ac:dyDescent="0.3">
      <c r="A489" t="s">
        <v>904</v>
      </c>
      <c r="B489" t="s">
        <v>905</v>
      </c>
    </row>
    <row r="490" spans="1:2" x14ac:dyDescent="0.3">
      <c r="A490" t="s">
        <v>906</v>
      </c>
      <c r="B490" t="s">
        <v>907</v>
      </c>
    </row>
    <row r="491" spans="1:2" x14ac:dyDescent="0.3">
      <c r="A491" t="s">
        <v>908</v>
      </c>
      <c r="B491" t="s">
        <v>909</v>
      </c>
    </row>
    <row r="492" spans="1:2" x14ac:dyDescent="0.3">
      <c r="A492" t="s">
        <v>910</v>
      </c>
      <c r="B492" t="s">
        <v>911</v>
      </c>
    </row>
    <row r="493" spans="1:2" x14ac:dyDescent="0.3">
      <c r="A493" t="s">
        <v>912</v>
      </c>
      <c r="B493" t="s">
        <v>913</v>
      </c>
    </row>
    <row r="494" spans="1:2" x14ac:dyDescent="0.3">
      <c r="A494" t="s">
        <v>914</v>
      </c>
      <c r="B494" t="s">
        <v>915</v>
      </c>
    </row>
    <row r="495" spans="1:2" x14ac:dyDescent="0.3">
      <c r="A495" t="s">
        <v>916</v>
      </c>
      <c r="B495" t="s">
        <v>917</v>
      </c>
    </row>
    <row r="496" spans="1:2" x14ac:dyDescent="0.3">
      <c r="A496" t="s">
        <v>918</v>
      </c>
      <c r="B496" t="s">
        <v>919</v>
      </c>
    </row>
    <row r="497" spans="1:2" x14ac:dyDescent="0.3">
      <c r="A497" t="s">
        <v>920</v>
      </c>
      <c r="B497" t="s">
        <v>921</v>
      </c>
    </row>
    <row r="498" spans="1:2" x14ac:dyDescent="0.3">
      <c r="A498" t="s">
        <v>884</v>
      </c>
      <c r="B498" t="s">
        <v>885</v>
      </c>
    </row>
    <row r="499" spans="1:2" x14ac:dyDescent="0.3">
      <c r="A499" t="s">
        <v>886</v>
      </c>
      <c r="B499" t="s">
        <v>887</v>
      </c>
    </row>
    <row r="500" spans="1:2" x14ac:dyDescent="0.3">
      <c r="A500" t="s">
        <v>888</v>
      </c>
      <c r="B500" t="s">
        <v>889</v>
      </c>
    </row>
    <row r="501" spans="1:2" x14ac:dyDescent="0.3">
      <c r="A501" t="s">
        <v>890</v>
      </c>
      <c r="B501" t="s">
        <v>891</v>
      </c>
    </row>
    <row r="502" spans="1:2" x14ac:dyDescent="0.3">
      <c r="A502" t="s">
        <v>892</v>
      </c>
      <c r="B502" t="s">
        <v>893</v>
      </c>
    </row>
    <row r="503" spans="1:2" x14ac:dyDescent="0.3">
      <c r="A503" t="s">
        <v>894</v>
      </c>
      <c r="B503" t="s">
        <v>895</v>
      </c>
    </row>
    <row r="504" spans="1:2" x14ac:dyDescent="0.3">
      <c r="A504" t="s">
        <v>896</v>
      </c>
      <c r="B504" t="s">
        <v>897</v>
      </c>
    </row>
    <row r="505" spans="1:2" x14ac:dyDescent="0.3">
      <c r="A505" t="s">
        <v>898</v>
      </c>
      <c r="B505" t="s">
        <v>899</v>
      </c>
    </row>
    <row r="506" spans="1:2" x14ac:dyDescent="0.3">
      <c r="A506" t="s">
        <v>900</v>
      </c>
      <c r="B506" t="s">
        <v>901</v>
      </c>
    </row>
    <row r="507" spans="1:2" x14ac:dyDescent="0.3">
      <c r="A507" t="s">
        <v>902</v>
      </c>
      <c r="B507" t="s">
        <v>903</v>
      </c>
    </row>
    <row r="508" spans="1:2" x14ac:dyDescent="0.3">
      <c r="A508" t="s">
        <v>869</v>
      </c>
      <c r="B508" t="s">
        <v>870</v>
      </c>
    </row>
    <row r="509" spans="1:2" x14ac:dyDescent="0.3">
      <c r="A509" t="s">
        <v>871</v>
      </c>
      <c r="B509" t="s">
        <v>241</v>
      </c>
    </row>
    <row r="510" spans="1:2" x14ac:dyDescent="0.3">
      <c r="A510" t="s">
        <v>876</v>
      </c>
      <c r="B510" t="s">
        <v>877</v>
      </c>
    </row>
    <row r="511" spans="1:2" x14ac:dyDescent="0.3">
      <c r="A511" t="s">
        <v>867</v>
      </c>
      <c r="B511" t="s">
        <v>868</v>
      </c>
    </row>
    <row r="512" spans="1:2" x14ac:dyDescent="0.3">
      <c r="A512" t="s">
        <v>874</v>
      </c>
      <c r="B512" t="s">
        <v>875</v>
      </c>
    </row>
    <row r="513" spans="1:2" x14ac:dyDescent="0.3">
      <c r="A513" t="s">
        <v>878</v>
      </c>
      <c r="B513" t="s">
        <v>879</v>
      </c>
    </row>
    <row r="514" spans="1:2" x14ac:dyDescent="0.3">
      <c r="A514" t="s">
        <v>922</v>
      </c>
      <c r="B514" t="s">
        <v>923</v>
      </c>
    </row>
    <row r="515" spans="1:2" x14ac:dyDescent="0.3">
      <c r="A515" t="s">
        <v>872</v>
      </c>
      <c r="B515" t="s">
        <v>873</v>
      </c>
    </row>
    <row r="516" spans="1:2" x14ac:dyDescent="0.3">
      <c r="A516" t="s">
        <v>178</v>
      </c>
      <c r="B516" t="s">
        <v>179</v>
      </c>
    </row>
    <row r="517" spans="1:2" x14ac:dyDescent="0.3">
      <c r="A517" t="s">
        <v>10</v>
      </c>
      <c r="B517" t="s">
        <v>11</v>
      </c>
    </row>
    <row r="518" spans="1:2" x14ac:dyDescent="0.3">
      <c r="A518" t="s">
        <v>1108</v>
      </c>
      <c r="B518" t="s">
        <v>11</v>
      </c>
    </row>
    <row r="519" spans="1:2" x14ac:dyDescent="0.3">
      <c r="A519" t="s">
        <v>833</v>
      </c>
      <c r="B519" t="s">
        <v>834</v>
      </c>
    </row>
    <row r="520" spans="1:2" x14ac:dyDescent="0.3">
      <c r="A520" t="s">
        <v>831</v>
      </c>
      <c r="B520" t="s">
        <v>832</v>
      </c>
    </row>
    <row r="521" spans="1:2" x14ac:dyDescent="0.3">
      <c r="A521" t="s">
        <v>1617</v>
      </c>
      <c r="B521" t="s">
        <v>1618</v>
      </c>
    </row>
    <row r="522" spans="1:2" x14ac:dyDescent="0.3">
      <c r="A522" t="s">
        <v>212</v>
      </c>
      <c r="B522" t="s">
        <v>213</v>
      </c>
    </row>
    <row r="523" spans="1:2" x14ac:dyDescent="0.3">
      <c r="A523" t="s">
        <v>541</v>
      </c>
      <c r="B523" t="s">
        <v>542</v>
      </c>
    </row>
    <row r="524" spans="1:2" x14ac:dyDescent="0.3">
      <c r="A524" t="s">
        <v>597</v>
      </c>
      <c r="B524" t="s">
        <v>3844</v>
      </c>
    </row>
    <row r="525" spans="1:2" x14ac:dyDescent="0.3">
      <c r="A525" t="s">
        <v>543</v>
      </c>
      <c r="B525" t="s">
        <v>544</v>
      </c>
    </row>
    <row r="526" spans="1:2" x14ac:dyDescent="0.3">
      <c r="A526" t="s">
        <v>276</v>
      </c>
      <c r="B526" t="s">
        <v>277</v>
      </c>
    </row>
    <row r="527" spans="1:2" x14ac:dyDescent="0.3">
      <c r="A527" t="s">
        <v>278</v>
      </c>
      <c r="B527" t="s">
        <v>279</v>
      </c>
    </row>
    <row r="528" spans="1:2" x14ac:dyDescent="0.3">
      <c r="A528" t="s">
        <v>124</v>
      </c>
      <c r="B528" t="s">
        <v>125</v>
      </c>
    </row>
    <row r="529" spans="1:2" x14ac:dyDescent="0.3">
      <c r="A529" t="s">
        <v>122</v>
      </c>
      <c r="B529" t="s">
        <v>123</v>
      </c>
    </row>
    <row r="530" spans="1:2" x14ac:dyDescent="0.3">
      <c r="A530" t="s">
        <v>146</v>
      </c>
      <c r="B530" t="s">
        <v>147</v>
      </c>
    </row>
    <row r="531" spans="1:2" x14ac:dyDescent="0.3">
      <c r="A531" t="s">
        <v>144</v>
      </c>
      <c r="B531" t="s">
        <v>145</v>
      </c>
    </row>
    <row r="532" spans="1:2" x14ac:dyDescent="0.3">
      <c r="A532" t="s">
        <v>142</v>
      </c>
      <c r="B532" t="s">
        <v>143</v>
      </c>
    </row>
    <row r="533" spans="1:2" x14ac:dyDescent="0.3">
      <c r="A533" t="s">
        <v>140</v>
      </c>
      <c r="B533" t="s">
        <v>141</v>
      </c>
    </row>
    <row r="534" spans="1:2" x14ac:dyDescent="0.3">
      <c r="A534" t="s">
        <v>335</v>
      </c>
      <c r="B534" t="s">
        <v>336</v>
      </c>
    </row>
    <row r="535" spans="1:2" x14ac:dyDescent="0.3">
      <c r="A535" t="s">
        <v>78</v>
      </c>
      <c r="B535" t="s">
        <v>79</v>
      </c>
    </row>
    <row r="536" spans="1:2" x14ac:dyDescent="0.3">
      <c r="A536" t="s">
        <v>966</v>
      </c>
      <c r="B536" t="s">
        <v>967</v>
      </c>
    </row>
    <row r="537" spans="1:2" x14ac:dyDescent="0.3">
      <c r="A537" t="s">
        <v>469</v>
      </c>
      <c r="B537" t="s">
        <v>470</v>
      </c>
    </row>
    <row r="538" spans="1:2" x14ac:dyDescent="0.3">
      <c r="A538" t="s">
        <v>494</v>
      </c>
      <c r="B538" t="s">
        <v>495</v>
      </c>
    </row>
    <row r="539" spans="1:2" x14ac:dyDescent="0.3">
      <c r="A539" t="s">
        <v>492</v>
      </c>
      <c r="B539" t="s">
        <v>493</v>
      </c>
    </row>
    <row r="540" spans="1:2" x14ac:dyDescent="0.3">
      <c r="A540" t="s">
        <v>490</v>
      </c>
      <c r="B540" t="s">
        <v>491</v>
      </c>
    </row>
    <row r="541" spans="1:2" x14ac:dyDescent="0.3">
      <c r="A541" t="s">
        <v>496</v>
      </c>
      <c r="B541" t="s">
        <v>497</v>
      </c>
    </row>
    <row r="542" spans="1:2" x14ac:dyDescent="0.3">
      <c r="A542" t="s">
        <v>60</v>
      </c>
      <c r="B542" t="s">
        <v>61</v>
      </c>
    </row>
    <row r="543" spans="1:2" x14ac:dyDescent="0.3">
      <c r="A543" t="s">
        <v>974</v>
      </c>
      <c r="B543" t="s">
        <v>975</v>
      </c>
    </row>
    <row r="544" spans="1:2" x14ac:dyDescent="0.3">
      <c r="A544" t="s">
        <v>645</v>
      </c>
      <c r="B544" t="s">
        <v>646</v>
      </c>
    </row>
    <row r="545" spans="1:2" x14ac:dyDescent="0.3">
      <c r="A545" t="s">
        <v>298</v>
      </c>
      <c r="B545" t="s">
        <v>299</v>
      </c>
    </row>
    <row r="546" spans="1:2" x14ac:dyDescent="0.3">
      <c r="A546" t="s">
        <v>1672</v>
      </c>
      <c r="B546" t="s">
        <v>1673</v>
      </c>
    </row>
    <row r="547" spans="1:2" x14ac:dyDescent="0.3">
      <c r="A547" t="s">
        <v>1534</v>
      </c>
      <c r="B547" t="s">
        <v>640</v>
      </c>
    </row>
    <row r="548" spans="1:2" x14ac:dyDescent="0.3">
      <c r="A548" t="s">
        <v>1051</v>
      </c>
      <c r="B548" t="s">
        <v>640</v>
      </c>
    </row>
    <row r="549" spans="1:2" x14ac:dyDescent="0.3">
      <c r="A549" t="s">
        <v>1713</v>
      </c>
      <c r="B549" t="s">
        <v>1714</v>
      </c>
    </row>
    <row r="550" spans="1:2" x14ac:dyDescent="0.3">
      <c r="A550" t="s">
        <v>1715</v>
      </c>
      <c r="B550" t="s">
        <v>1716</v>
      </c>
    </row>
    <row r="551" spans="1:2" x14ac:dyDescent="0.3">
      <c r="A551" t="s">
        <v>1691</v>
      </c>
      <c r="B551" t="s">
        <v>1692</v>
      </c>
    </row>
    <row r="552" spans="1:2" x14ac:dyDescent="0.3">
      <c r="A552" t="s">
        <v>1695</v>
      </c>
      <c r="B552" t="s">
        <v>1696</v>
      </c>
    </row>
    <row r="553" spans="1:2" x14ac:dyDescent="0.3">
      <c r="A553" t="s">
        <v>1721</v>
      </c>
      <c r="B553" t="s">
        <v>1722</v>
      </c>
    </row>
    <row r="554" spans="1:2" x14ac:dyDescent="0.3">
      <c r="A554" t="s">
        <v>1728</v>
      </c>
      <c r="B554" t="s">
        <v>1729</v>
      </c>
    </row>
    <row r="555" spans="1:2" x14ac:dyDescent="0.3">
      <c r="A555" t="s">
        <v>1742</v>
      </c>
      <c r="B555" t="s">
        <v>1743</v>
      </c>
    </row>
    <row r="556" spans="1:2" x14ac:dyDescent="0.3">
      <c r="A556" t="s">
        <v>1734</v>
      </c>
      <c r="B556" t="s">
        <v>1735</v>
      </c>
    </row>
    <row r="557" spans="1:2" x14ac:dyDescent="0.3">
      <c r="A557" t="s">
        <v>1738</v>
      </c>
      <c r="B557" t="s">
        <v>1739</v>
      </c>
    </row>
    <row r="558" spans="1:2" x14ac:dyDescent="0.3">
      <c r="A558" t="s">
        <v>1744</v>
      </c>
      <c r="B558" t="s">
        <v>1745</v>
      </c>
    </row>
    <row r="559" spans="1:2" x14ac:dyDescent="0.3">
      <c r="A559" t="s">
        <v>1747</v>
      </c>
      <c r="B559" t="s">
        <v>1748</v>
      </c>
    </row>
    <row r="560" spans="1:2" x14ac:dyDescent="0.3">
      <c r="A560" t="s">
        <v>1732</v>
      </c>
      <c r="B560" t="s">
        <v>1733</v>
      </c>
    </row>
    <row r="561" spans="1:2" x14ac:dyDescent="0.3">
      <c r="A561" t="s">
        <v>1693</v>
      </c>
      <c r="B561" t="s">
        <v>1694</v>
      </c>
    </row>
    <row r="562" spans="1:2" x14ac:dyDescent="0.3">
      <c r="A562" t="s">
        <v>1719</v>
      </c>
      <c r="B562" t="s">
        <v>1720</v>
      </c>
    </row>
    <row r="563" spans="1:2" x14ac:dyDescent="0.3">
      <c r="A563" t="s">
        <v>1682</v>
      </c>
      <c r="B563" t="s">
        <v>1683</v>
      </c>
    </row>
    <row r="564" spans="1:2" x14ac:dyDescent="0.3">
      <c r="A564" t="s">
        <v>1699</v>
      </c>
      <c r="B564" t="s">
        <v>1700</v>
      </c>
    </row>
    <row r="565" spans="1:2" x14ac:dyDescent="0.3">
      <c r="A565" t="s">
        <v>1697</v>
      </c>
      <c r="B565" t="s">
        <v>1698</v>
      </c>
    </row>
    <row r="566" spans="1:2" x14ac:dyDescent="0.3">
      <c r="A566" t="s">
        <v>1751</v>
      </c>
      <c r="B566" t="s">
        <v>1752</v>
      </c>
    </row>
    <row r="567" spans="1:2" x14ac:dyDescent="0.3">
      <c r="A567" t="s">
        <v>1727</v>
      </c>
      <c r="B567" t="s">
        <v>243</v>
      </c>
    </row>
    <row r="568" spans="1:2" x14ac:dyDescent="0.3">
      <c r="A568" t="s">
        <v>1740</v>
      </c>
      <c r="B568" t="s">
        <v>1741</v>
      </c>
    </row>
    <row r="569" spans="1:2" x14ac:dyDescent="0.3">
      <c r="A569" t="s">
        <v>1749</v>
      </c>
      <c r="B569" t="s">
        <v>1750</v>
      </c>
    </row>
    <row r="570" spans="1:2" x14ac:dyDescent="0.3">
      <c r="A570" t="s">
        <v>1703</v>
      </c>
      <c r="B570" t="s">
        <v>1704</v>
      </c>
    </row>
    <row r="571" spans="1:2" x14ac:dyDescent="0.3">
      <c r="A571" t="s">
        <v>1701</v>
      </c>
      <c r="B571" t="s">
        <v>1702</v>
      </c>
    </row>
    <row r="572" spans="1:2" x14ac:dyDescent="0.3">
      <c r="A572" t="s">
        <v>1684</v>
      </c>
      <c r="B572" t="s">
        <v>1685</v>
      </c>
    </row>
    <row r="573" spans="1:2" x14ac:dyDescent="0.3">
      <c r="A573" t="s">
        <v>1730</v>
      </c>
      <c r="B573" t="s">
        <v>1731</v>
      </c>
    </row>
    <row r="574" spans="1:2" x14ac:dyDescent="0.3">
      <c r="A574" t="s">
        <v>1723</v>
      </c>
      <c r="B574" t="s">
        <v>1724</v>
      </c>
    </row>
    <row r="575" spans="1:2" x14ac:dyDescent="0.3">
      <c r="A575" t="s">
        <v>1686</v>
      </c>
      <c r="B575" t="s">
        <v>1687</v>
      </c>
    </row>
    <row r="576" spans="1:2" x14ac:dyDescent="0.3">
      <c r="A576" t="s">
        <v>1707</v>
      </c>
      <c r="B576" t="s">
        <v>1708</v>
      </c>
    </row>
    <row r="577" spans="1:2" x14ac:dyDescent="0.3">
      <c r="A577" t="s">
        <v>1705</v>
      </c>
      <c r="B577" t="s">
        <v>1706</v>
      </c>
    </row>
    <row r="578" spans="1:2" x14ac:dyDescent="0.3">
      <c r="A578" t="s">
        <v>1746</v>
      </c>
      <c r="B578" t="s">
        <v>1657</v>
      </c>
    </row>
    <row r="579" spans="1:2" x14ac:dyDescent="0.3">
      <c r="A579" t="s">
        <v>1725</v>
      </c>
      <c r="B579" t="s">
        <v>1726</v>
      </c>
    </row>
    <row r="580" spans="1:2" x14ac:dyDescent="0.3">
      <c r="A580" t="s">
        <v>1688</v>
      </c>
      <c r="B580" t="s">
        <v>562</v>
      </c>
    </row>
    <row r="581" spans="1:2" x14ac:dyDescent="0.3">
      <c r="A581" t="s">
        <v>1711</v>
      </c>
      <c r="B581" t="s">
        <v>1712</v>
      </c>
    </row>
    <row r="582" spans="1:2" x14ac:dyDescent="0.3">
      <c r="A582" t="s">
        <v>1709</v>
      </c>
      <c r="B582" t="s">
        <v>1710</v>
      </c>
    </row>
    <row r="583" spans="1:2" x14ac:dyDescent="0.3">
      <c r="A583" t="s">
        <v>1689</v>
      </c>
      <c r="B583" t="s">
        <v>1690</v>
      </c>
    </row>
    <row r="584" spans="1:2" x14ac:dyDescent="0.3">
      <c r="A584" t="s">
        <v>1717</v>
      </c>
      <c r="B584" t="s">
        <v>1718</v>
      </c>
    </row>
    <row r="585" spans="1:2" x14ac:dyDescent="0.3">
      <c r="A585" t="s">
        <v>72</v>
      </c>
      <c r="B585" t="s">
        <v>73</v>
      </c>
    </row>
    <row r="586" spans="1:2" x14ac:dyDescent="0.3">
      <c r="A586" t="s">
        <v>256</v>
      </c>
      <c r="B586" t="s">
        <v>257</v>
      </c>
    </row>
    <row r="587" spans="1:2" x14ac:dyDescent="0.3">
      <c r="A587" t="s">
        <v>387</v>
      </c>
      <c r="B587" t="s">
        <v>388</v>
      </c>
    </row>
    <row r="588" spans="1:2" x14ac:dyDescent="0.3">
      <c r="A588" t="s">
        <v>304</v>
      </c>
      <c r="B588" t="s">
        <v>305</v>
      </c>
    </row>
    <row r="589" spans="1:2" x14ac:dyDescent="0.3">
      <c r="A589" t="s">
        <v>286</v>
      </c>
      <c r="B589" t="s">
        <v>287</v>
      </c>
    </row>
    <row r="590" spans="1:2" x14ac:dyDescent="0.3">
      <c r="A590" t="s">
        <v>1640</v>
      </c>
      <c r="B590" t="s">
        <v>1641</v>
      </c>
    </row>
    <row r="591" spans="1:2" x14ac:dyDescent="0.3">
      <c r="A591" t="s">
        <v>341</v>
      </c>
      <c r="B591" t="s">
        <v>342</v>
      </c>
    </row>
    <row r="592" spans="1:2" x14ac:dyDescent="0.3">
      <c r="A592" t="s">
        <v>132</v>
      </c>
      <c r="B592" t="s">
        <v>133</v>
      </c>
    </row>
    <row r="593" spans="1:2" x14ac:dyDescent="0.3">
      <c r="A593" t="s">
        <v>130</v>
      </c>
      <c r="B593" t="s">
        <v>131</v>
      </c>
    </row>
    <row r="594" spans="1:2" x14ac:dyDescent="0.3">
      <c r="A594" t="s">
        <v>138</v>
      </c>
      <c r="B594" t="s">
        <v>139</v>
      </c>
    </row>
    <row r="595" spans="1:2" x14ac:dyDescent="0.3">
      <c r="A595" t="s">
        <v>1115</v>
      </c>
      <c r="B595" t="s">
        <v>1116</v>
      </c>
    </row>
    <row r="596" spans="1:2" x14ac:dyDescent="0.3">
      <c r="A596" t="s">
        <v>1543</v>
      </c>
      <c r="B596" t="s">
        <v>1544</v>
      </c>
    </row>
    <row r="597" spans="1:2" x14ac:dyDescent="0.3">
      <c r="A597" t="s">
        <v>506</v>
      </c>
      <c r="B597" t="s">
        <v>507</v>
      </c>
    </row>
    <row r="598" spans="1:2" x14ac:dyDescent="0.3">
      <c r="A598" t="s">
        <v>626</v>
      </c>
      <c r="B598" t="s">
        <v>627</v>
      </c>
    </row>
    <row r="599" spans="1:2" x14ac:dyDescent="0.3">
      <c r="A599" t="s">
        <v>467</v>
      </c>
      <c r="B599" t="s">
        <v>468</v>
      </c>
    </row>
    <row r="600" spans="1:2" x14ac:dyDescent="0.3">
      <c r="A600" t="s">
        <v>622</v>
      </c>
      <c r="B600" t="s">
        <v>623</v>
      </c>
    </row>
    <row r="601" spans="1:2" x14ac:dyDescent="0.3">
      <c r="A601" t="s">
        <v>1541</v>
      </c>
      <c r="B601" t="s">
        <v>1542</v>
      </c>
    </row>
    <row r="602" spans="1:2" x14ac:dyDescent="0.3">
      <c r="A602" t="s">
        <v>1545</v>
      </c>
      <c r="B602" t="s">
        <v>1546</v>
      </c>
    </row>
    <row r="603" spans="1:2" x14ac:dyDescent="0.3">
      <c r="A603" t="s">
        <v>1549</v>
      </c>
      <c r="B603" t="s">
        <v>1550</v>
      </c>
    </row>
    <row r="604" spans="1:2" x14ac:dyDescent="0.3">
      <c r="A604" t="s">
        <v>1465</v>
      </c>
      <c r="B604" t="s">
        <v>1466</v>
      </c>
    </row>
    <row r="605" spans="1:2" x14ac:dyDescent="0.3">
      <c r="A605" t="s">
        <v>74</v>
      </c>
      <c r="B605" t="s">
        <v>75</v>
      </c>
    </row>
    <row r="606" spans="1:2" x14ac:dyDescent="0.3">
      <c r="A606" t="s">
        <v>58</v>
      </c>
      <c r="B606" t="s">
        <v>59</v>
      </c>
    </row>
    <row r="607" spans="1:2" x14ac:dyDescent="0.3">
      <c r="A607" t="s">
        <v>863</v>
      </c>
      <c r="B607" t="s">
        <v>864</v>
      </c>
    </row>
    <row r="608" spans="1:2" x14ac:dyDescent="0.3">
      <c r="A608" t="s">
        <v>865</v>
      </c>
      <c r="B608" t="s">
        <v>866</v>
      </c>
    </row>
    <row r="609" spans="1:2" x14ac:dyDescent="0.3">
      <c r="A609" t="s">
        <v>775</v>
      </c>
      <c r="B609" t="s">
        <v>776</v>
      </c>
    </row>
    <row r="610" spans="1:2" x14ac:dyDescent="0.3">
      <c r="A610" t="s">
        <v>94</v>
      </c>
      <c r="B610" t="s">
        <v>95</v>
      </c>
    </row>
    <row r="611" spans="1:2" x14ac:dyDescent="0.3">
      <c r="A611" t="s">
        <v>96</v>
      </c>
      <c r="B611" t="s">
        <v>97</v>
      </c>
    </row>
    <row r="612" spans="1:2" x14ac:dyDescent="0.3">
      <c r="A612" t="s">
        <v>502</v>
      </c>
      <c r="B612" t="s">
        <v>503</v>
      </c>
    </row>
    <row r="613" spans="1:2" x14ac:dyDescent="0.3">
      <c r="A613" t="s">
        <v>427</v>
      </c>
      <c r="B613" t="s">
        <v>428</v>
      </c>
    </row>
    <row r="614" spans="1:2" x14ac:dyDescent="0.3">
      <c r="A614" t="s">
        <v>1431</v>
      </c>
      <c r="B614" t="s">
        <v>1432</v>
      </c>
    </row>
    <row r="615" spans="1:2" x14ac:dyDescent="0.3">
      <c r="A615" t="s">
        <v>1019</v>
      </c>
      <c r="B615" t="s">
        <v>877</v>
      </c>
    </row>
    <row r="616" spans="1:2" x14ac:dyDescent="0.3">
      <c r="A616" t="s">
        <v>569</v>
      </c>
      <c r="B616" t="s">
        <v>570</v>
      </c>
    </row>
    <row r="617" spans="1:2" x14ac:dyDescent="0.3">
      <c r="A617" t="s">
        <v>485</v>
      </c>
      <c r="B617" t="s">
        <v>486</v>
      </c>
    </row>
    <row r="618" spans="1:2" x14ac:dyDescent="0.3">
      <c r="A618" t="s">
        <v>545</v>
      </c>
      <c r="B618" t="s">
        <v>546</v>
      </c>
    </row>
    <row r="619" spans="1:2" x14ac:dyDescent="0.3">
      <c r="A619" t="s">
        <v>1418</v>
      </c>
      <c r="B619" t="s">
        <v>1419</v>
      </c>
    </row>
    <row r="620" spans="1:2" x14ac:dyDescent="0.3">
      <c r="A620" t="s">
        <v>1426</v>
      </c>
      <c r="B620" t="s">
        <v>1427</v>
      </c>
    </row>
    <row r="621" spans="1:2" x14ac:dyDescent="0.3">
      <c r="A621" t="s">
        <v>477</v>
      </c>
      <c r="B621" t="s">
        <v>478</v>
      </c>
    </row>
    <row r="622" spans="1:2" x14ac:dyDescent="0.3">
      <c r="A622" t="s">
        <v>547</v>
      </c>
      <c r="B622" t="s">
        <v>548</v>
      </c>
    </row>
    <row r="623" spans="1:2" x14ac:dyDescent="0.3">
      <c r="A623" t="s">
        <v>567</v>
      </c>
      <c r="B623" t="s">
        <v>568</v>
      </c>
    </row>
    <row r="624" spans="1:2" x14ac:dyDescent="0.3">
      <c r="A624" t="s">
        <v>1410</v>
      </c>
      <c r="B624" t="s">
        <v>1411</v>
      </c>
    </row>
    <row r="625" spans="1:2" x14ac:dyDescent="0.3">
      <c r="A625" t="s">
        <v>67</v>
      </c>
      <c r="B625" t="s">
        <v>3842</v>
      </c>
    </row>
    <row r="626" spans="1:2" x14ac:dyDescent="0.3">
      <c r="A626" t="s">
        <v>1623</v>
      </c>
      <c r="B626" t="s">
        <v>531</v>
      </c>
    </row>
    <row r="627" spans="1:2" x14ac:dyDescent="0.3">
      <c r="A627" t="s">
        <v>12</v>
      </c>
      <c r="B627" t="s">
        <v>13</v>
      </c>
    </row>
    <row r="628" spans="1:2" x14ac:dyDescent="0.3">
      <c r="A628" t="s">
        <v>1438</v>
      </c>
      <c r="B628" t="s">
        <v>1439</v>
      </c>
    </row>
    <row r="629" spans="1:2" x14ac:dyDescent="0.3">
      <c r="A629" t="s">
        <v>24</v>
      </c>
      <c r="B629" t="s">
        <v>25</v>
      </c>
    </row>
    <row r="630" spans="1:2" x14ac:dyDescent="0.3">
      <c r="A630" t="s">
        <v>1654</v>
      </c>
      <c r="B630" t="s">
        <v>1655</v>
      </c>
    </row>
    <row r="631" spans="1:2" x14ac:dyDescent="0.3">
      <c r="A631" t="s">
        <v>769</v>
      </c>
      <c r="B631" t="s">
        <v>770</v>
      </c>
    </row>
    <row r="632" spans="1:2" x14ac:dyDescent="0.3">
      <c r="A632" t="s">
        <v>813</v>
      </c>
      <c r="B632" t="s">
        <v>814</v>
      </c>
    </row>
    <row r="633" spans="1:2" x14ac:dyDescent="0.3">
      <c r="A633" t="s">
        <v>54</v>
      </c>
      <c r="B633" t="s">
        <v>55</v>
      </c>
    </row>
    <row r="634" spans="1:2" x14ac:dyDescent="0.3">
      <c r="A634" t="s">
        <v>549</v>
      </c>
      <c r="B634" t="s">
        <v>550</v>
      </c>
    </row>
    <row r="635" spans="1:2" x14ac:dyDescent="0.3">
      <c r="A635" t="s">
        <v>170</v>
      </c>
      <c r="B635" t="s">
        <v>171</v>
      </c>
    </row>
    <row r="636" spans="1:2" x14ac:dyDescent="0.3">
      <c r="A636" t="s">
        <v>451</v>
      </c>
      <c r="B636" t="s">
        <v>452</v>
      </c>
    </row>
    <row r="637" spans="1:2" x14ac:dyDescent="0.3">
      <c r="A637" t="s">
        <v>725</v>
      </c>
      <c r="B637" t="s">
        <v>726</v>
      </c>
    </row>
    <row r="638" spans="1:2" x14ac:dyDescent="0.3">
      <c r="A638" t="s">
        <v>487</v>
      </c>
      <c r="B638" t="s">
        <v>488</v>
      </c>
    </row>
    <row r="639" spans="1:2" x14ac:dyDescent="0.3">
      <c r="A639" t="s">
        <v>793</v>
      </c>
      <c r="B639" t="s">
        <v>794</v>
      </c>
    </row>
    <row r="640" spans="1:2" x14ac:dyDescent="0.3">
      <c r="A640" t="s">
        <v>1428</v>
      </c>
      <c r="B640" t="s">
        <v>1429</v>
      </c>
    </row>
    <row r="641" spans="1:2" x14ac:dyDescent="0.3">
      <c r="A641" t="s">
        <v>1420</v>
      </c>
      <c r="B641" t="s">
        <v>1421</v>
      </c>
    </row>
    <row r="642" spans="1:2" x14ac:dyDescent="0.3">
      <c r="A642" t="s">
        <v>184</v>
      </c>
      <c r="B642" t="s">
        <v>185</v>
      </c>
    </row>
    <row r="643" spans="1:2" x14ac:dyDescent="0.3">
      <c r="A643" t="s">
        <v>809</v>
      </c>
      <c r="B643" t="s">
        <v>810</v>
      </c>
    </row>
    <row r="644" spans="1:2" x14ac:dyDescent="0.3">
      <c r="A644" t="s">
        <v>337</v>
      </c>
      <c r="B644" t="s">
        <v>338</v>
      </c>
    </row>
    <row r="645" spans="1:2" x14ac:dyDescent="0.3">
      <c r="A645" t="s">
        <v>371</v>
      </c>
      <c r="B645" t="s">
        <v>372</v>
      </c>
    </row>
    <row r="646" spans="1:2" x14ac:dyDescent="0.3">
      <c r="A646" t="s">
        <v>479</v>
      </c>
      <c r="B646" t="s">
        <v>480</v>
      </c>
    </row>
    <row r="647" spans="1:2" x14ac:dyDescent="0.3">
      <c r="A647" t="s">
        <v>727</v>
      </c>
      <c r="B647" t="s">
        <v>728</v>
      </c>
    </row>
    <row r="648" spans="1:2" x14ac:dyDescent="0.3">
      <c r="A648" t="s">
        <v>510</v>
      </c>
      <c r="B648" t="s">
        <v>511</v>
      </c>
    </row>
    <row r="649" spans="1:2" x14ac:dyDescent="0.3">
      <c r="A649" t="s">
        <v>583</v>
      </c>
      <c r="B649" t="s">
        <v>584</v>
      </c>
    </row>
    <row r="650" spans="1:2" x14ac:dyDescent="0.3">
      <c r="A650" t="s">
        <v>516</v>
      </c>
      <c r="B650" t="s">
        <v>517</v>
      </c>
    </row>
    <row r="651" spans="1:2" x14ac:dyDescent="0.3">
      <c r="A651" t="s">
        <v>162</v>
      </c>
      <c r="B651" t="s">
        <v>163</v>
      </c>
    </row>
    <row r="652" spans="1:2" x14ac:dyDescent="0.3">
      <c r="A652" t="s">
        <v>160</v>
      </c>
      <c r="B652" t="s">
        <v>161</v>
      </c>
    </row>
    <row r="653" spans="1:2" x14ac:dyDescent="0.3">
      <c r="A653" t="s">
        <v>1412</v>
      </c>
      <c r="B653" t="s">
        <v>1413</v>
      </c>
    </row>
    <row r="654" spans="1:2" x14ac:dyDescent="0.3">
      <c r="A654" t="s">
        <v>90</v>
      </c>
      <c r="B654" t="s">
        <v>91</v>
      </c>
    </row>
    <row r="655" spans="1:2" x14ac:dyDescent="0.3">
      <c r="A655" t="s">
        <v>92</v>
      </c>
      <c r="B655" t="s">
        <v>93</v>
      </c>
    </row>
    <row r="656" spans="1:2" x14ac:dyDescent="0.3">
      <c r="A656" t="s">
        <v>228</v>
      </c>
      <c r="B656" t="s">
        <v>229</v>
      </c>
    </row>
    <row r="657" spans="1:2" x14ac:dyDescent="0.3">
      <c r="A657" t="s">
        <v>1680</v>
      </c>
      <c r="B657" t="s">
        <v>1681</v>
      </c>
    </row>
    <row r="658" spans="1:2" x14ac:dyDescent="0.3">
      <c r="A658" t="s">
        <v>1141</v>
      </c>
      <c r="B658" t="s">
        <v>1142</v>
      </c>
    </row>
    <row r="659" spans="1:2" x14ac:dyDescent="0.3">
      <c r="A659" t="s">
        <v>158</v>
      </c>
      <c r="B659" t="s">
        <v>159</v>
      </c>
    </row>
    <row r="660" spans="1:2" x14ac:dyDescent="0.3">
      <c r="A660" t="s">
        <v>156</v>
      </c>
      <c r="B660" t="s">
        <v>157</v>
      </c>
    </row>
    <row r="661" spans="1:2" x14ac:dyDescent="0.3">
      <c r="A661" t="s">
        <v>48</v>
      </c>
      <c r="B661" t="s">
        <v>49</v>
      </c>
    </row>
    <row r="662" spans="1:2" x14ac:dyDescent="0.3">
      <c r="A662" t="s">
        <v>783</v>
      </c>
      <c r="B662" t="s">
        <v>784</v>
      </c>
    </row>
    <row r="663" spans="1:2" x14ac:dyDescent="0.3">
      <c r="A663" t="s">
        <v>3825</v>
      </c>
      <c r="B663" t="s">
        <v>3826</v>
      </c>
    </row>
    <row r="664" spans="1:2" x14ac:dyDescent="0.3">
      <c r="A664" t="s">
        <v>514</v>
      </c>
      <c r="B664" t="s">
        <v>515</v>
      </c>
    </row>
    <row r="665" spans="1:2" x14ac:dyDescent="0.3">
      <c r="A665" t="s">
        <v>633</v>
      </c>
      <c r="B665" t="s">
        <v>634</v>
      </c>
    </row>
    <row r="666" spans="1:2" x14ac:dyDescent="0.3">
      <c r="A666" t="s">
        <v>329</v>
      </c>
      <c r="B666" t="s">
        <v>330</v>
      </c>
    </row>
    <row r="667" spans="1:2" x14ac:dyDescent="0.3">
      <c r="A667" t="s">
        <v>407</v>
      </c>
      <c r="B667" t="s">
        <v>408</v>
      </c>
    </row>
    <row r="668" spans="1:2" x14ac:dyDescent="0.3">
      <c r="A668" t="s">
        <v>409</v>
      </c>
      <c r="B668" t="s">
        <v>410</v>
      </c>
    </row>
    <row r="669" spans="1:2" x14ac:dyDescent="0.3">
      <c r="A669" t="s">
        <v>1119</v>
      </c>
      <c r="B669" t="s">
        <v>1120</v>
      </c>
    </row>
    <row r="670" spans="1:2" x14ac:dyDescent="0.3">
      <c r="A670" t="s">
        <v>242</v>
      </c>
      <c r="B670" t="s">
        <v>243</v>
      </c>
    </row>
    <row r="671" spans="1:2" x14ac:dyDescent="0.3">
      <c r="A671" t="s">
        <v>1009</v>
      </c>
      <c r="B671" t="s">
        <v>1010</v>
      </c>
    </row>
    <row r="672" spans="1:2" x14ac:dyDescent="0.3">
      <c r="A672" t="s">
        <v>1011</v>
      </c>
      <c r="B672" t="s">
        <v>1012</v>
      </c>
    </row>
    <row r="673" spans="1:2" x14ac:dyDescent="0.3">
      <c r="A673" t="s">
        <v>616</v>
      </c>
      <c r="B673" t="s">
        <v>617</v>
      </c>
    </row>
    <row r="674" spans="1:2" x14ac:dyDescent="0.3">
      <c r="A674" t="s">
        <v>639</v>
      </c>
      <c r="B674" t="s">
        <v>640</v>
      </c>
    </row>
    <row r="675" spans="1:2" x14ac:dyDescent="0.3">
      <c r="A675" t="s">
        <v>437</v>
      </c>
      <c r="B675" t="s">
        <v>438</v>
      </c>
    </row>
    <row r="676" spans="1:2" x14ac:dyDescent="0.3">
      <c r="A676" t="s">
        <v>968</v>
      </c>
      <c r="B676" t="s">
        <v>969</v>
      </c>
    </row>
    <row r="677" spans="1:2" x14ac:dyDescent="0.3">
      <c r="A677" t="s">
        <v>717</v>
      </c>
      <c r="B677" t="s">
        <v>718</v>
      </c>
    </row>
    <row r="678" spans="1:2" x14ac:dyDescent="0.3">
      <c r="A678" t="s">
        <v>647</v>
      </c>
      <c r="B678" t="s">
        <v>648</v>
      </c>
    </row>
    <row r="679" spans="1:2" x14ac:dyDescent="0.3">
      <c r="A679" t="s">
        <v>232</v>
      </c>
      <c r="B679" t="s">
        <v>233</v>
      </c>
    </row>
    <row r="680" spans="1:2" x14ac:dyDescent="0.3">
      <c r="A680" t="s">
        <v>234</v>
      </c>
      <c r="B680" t="s">
        <v>235</v>
      </c>
    </row>
    <row r="681" spans="1:2" x14ac:dyDescent="0.3">
      <c r="A681" t="s">
        <v>839</v>
      </c>
      <c r="B681" t="s">
        <v>840</v>
      </c>
    </row>
    <row r="682" spans="1:2" x14ac:dyDescent="0.3">
      <c r="A682" t="s">
        <v>355</v>
      </c>
      <c r="B682" t="s">
        <v>356</v>
      </c>
    </row>
    <row r="683" spans="1:2" x14ac:dyDescent="0.3">
      <c r="A683" t="s">
        <v>857</v>
      </c>
      <c r="B683" t="s">
        <v>858</v>
      </c>
    </row>
    <row r="684" spans="1:2" x14ac:dyDescent="0.3">
      <c r="A684" t="s">
        <v>319</v>
      </c>
      <c r="B684" t="s">
        <v>320</v>
      </c>
    </row>
    <row r="685" spans="1:2" x14ac:dyDescent="0.3">
      <c r="A685" t="s">
        <v>447</v>
      </c>
      <c r="B685" t="s">
        <v>448</v>
      </c>
    </row>
    <row r="686" spans="1:2" x14ac:dyDescent="0.3">
      <c r="A686" t="s">
        <v>471</v>
      </c>
      <c r="B686" t="s">
        <v>472</v>
      </c>
    </row>
    <row r="687" spans="1:2" x14ac:dyDescent="0.3">
      <c r="A687" t="s">
        <v>222</v>
      </c>
      <c r="B687" t="s">
        <v>223</v>
      </c>
    </row>
    <row r="688" spans="1:2" x14ac:dyDescent="0.3">
      <c r="A688" t="s">
        <v>729</v>
      </c>
      <c r="B688" t="s">
        <v>730</v>
      </c>
    </row>
    <row r="689" spans="1:2" x14ac:dyDescent="0.3">
      <c r="A689" t="s">
        <v>731</v>
      </c>
      <c r="B689" t="s">
        <v>732</v>
      </c>
    </row>
    <row r="690" spans="1:2" x14ac:dyDescent="0.3">
      <c r="A690" t="s">
        <v>220</v>
      </c>
      <c r="B690" t="s">
        <v>221</v>
      </c>
    </row>
    <row r="691" spans="1:2" x14ac:dyDescent="0.3">
      <c r="A691" t="s">
        <v>317</v>
      </c>
      <c r="B691" t="s">
        <v>318</v>
      </c>
    </row>
    <row r="692" spans="1:2" x14ac:dyDescent="0.3">
      <c r="A692" t="s">
        <v>3838</v>
      </c>
      <c r="B692" t="s">
        <v>3839</v>
      </c>
    </row>
    <row r="693" spans="1:2" x14ac:dyDescent="0.3">
      <c r="A693" t="s">
        <v>504</v>
      </c>
      <c r="B693" t="s">
        <v>505</v>
      </c>
    </row>
    <row r="694" spans="1:2" x14ac:dyDescent="0.3">
      <c r="A694" t="s">
        <v>280</v>
      </c>
      <c r="B694" t="s">
        <v>281</v>
      </c>
    </row>
    <row r="695" spans="1:2" x14ac:dyDescent="0.3">
      <c r="A695" t="s">
        <v>1652</v>
      </c>
      <c r="B695" t="s">
        <v>1653</v>
      </c>
    </row>
    <row r="696" spans="1:2" x14ac:dyDescent="0.3">
      <c r="A696" t="s">
        <v>2201</v>
      </c>
      <c r="B696" t="s">
        <v>2202</v>
      </c>
    </row>
    <row r="697" spans="1:2" x14ac:dyDescent="0.3">
      <c r="A697" t="s">
        <v>518</v>
      </c>
      <c r="B697" t="s">
        <v>519</v>
      </c>
    </row>
    <row r="698" spans="1:2" x14ac:dyDescent="0.3">
      <c r="A698" t="s">
        <v>618</v>
      </c>
      <c r="B698" t="s">
        <v>619</v>
      </c>
    </row>
    <row r="699" spans="1:2" x14ac:dyDescent="0.3">
      <c r="A699" t="s">
        <v>52</v>
      </c>
      <c r="B699" t="s">
        <v>53</v>
      </c>
    </row>
    <row r="700" spans="1:2" x14ac:dyDescent="0.3">
      <c r="A700" t="s">
        <v>533</v>
      </c>
      <c r="B700" t="s">
        <v>534</v>
      </c>
    </row>
    <row r="701" spans="1:2" x14ac:dyDescent="0.3">
      <c r="A701" t="s">
        <v>535</v>
      </c>
      <c r="B701" t="s">
        <v>536</v>
      </c>
    </row>
    <row r="702" spans="1:2" x14ac:dyDescent="0.3">
      <c r="A702" t="s">
        <v>1613</v>
      </c>
      <c r="B702" t="s">
        <v>1614</v>
      </c>
    </row>
    <row r="703" spans="1:2" x14ac:dyDescent="0.3">
      <c r="A703" t="s">
        <v>735</v>
      </c>
      <c r="B703" t="s">
        <v>736</v>
      </c>
    </row>
    <row r="704" spans="1:2" x14ac:dyDescent="0.3">
      <c r="A704" t="s">
        <v>682</v>
      </c>
      <c r="B704" t="s">
        <v>683</v>
      </c>
    </row>
    <row r="705" spans="1:2" x14ac:dyDescent="0.3">
      <c r="A705" t="s">
        <v>672</v>
      </c>
      <c r="B705" t="s">
        <v>673</v>
      </c>
    </row>
    <row r="706" spans="1:2" x14ac:dyDescent="0.3">
      <c r="A706" t="s">
        <v>670</v>
      </c>
      <c r="B706" t="s">
        <v>671</v>
      </c>
    </row>
    <row r="707" spans="1:2" x14ac:dyDescent="0.3">
      <c r="A707" t="s">
        <v>668</v>
      </c>
      <c r="B707" t="s">
        <v>669</v>
      </c>
    </row>
    <row r="708" spans="1:2" x14ac:dyDescent="0.3">
      <c r="A708" t="s">
        <v>680</v>
      </c>
      <c r="B708" t="s">
        <v>681</v>
      </c>
    </row>
    <row r="709" spans="1:2" x14ac:dyDescent="0.3">
      <c r="A709" t="s">
        <v>684</v>
      </c>
      <c r="B709" t="s">
        <v>685</v>
      </c>
    </row>
    <row r="710" spans="1:2" x14ac:dyDescent="0.3">
      <c r="A710" t="s">
        <v>676</v>
      </c>
      <c r="B710" t="s">
        <v>677</v>
      </c>
    </row>
    <row r="711" spans="1:2" x14ac:dyDescent="0.3">
      <c r="A711" t="s">
        <v>823</v>
      </c>
      <c r="B711" t="s">
        <v>824</v>
      </c>
    </row>
    <row r="712" spans="1:2" x14ac:dyDescent="0.3">
      <c r="A712" t="s">
        <v>662</v>
      </c>
      <c r="B712" t="s">
        <v>663</v>
      </c>
    </row>
    <row r="713" spans="1:2" x14ac:dyDescent="0.3">
      <c r="A713" t="s">
        <v>678</v>
      </c>
      <c r="B713" t="s">
        <v>679</v>
      </c>
    </row>
    <row r="714" spans="1:2" x14ac:dyDescent="0.3">
      <c r="A714" t="s">
        <v>664</v>
      </c>
      <c r="B714" t="s">
        <v>665</v>
      </c>
    </row>
    <row r="715" spans="1:2" x14ac:dyDescent="0.3">
      <c r="A715" t="s">
        <v>666</v>
      </c>
      <c r="B715" t="s">
        <v>667</v>
      </c>
    </row>
    <row r="716" spans="1:2" x14ac:dyDescent="0.3">
      <c r="A716" t="s">
        <v>674</v>
      </c>
      <c r="B716" t="s">
        <v>675</v>
      </c>
    </row>
    <row r="717" spans="1:2" x14ac:dyDescent="0.3">
      <c r="A717" t="s">
        <v>522</v>
      </c>
      <c r="B717" t="s">
        <v>523</v>
      </c>
    </row>
    <row r="718" spans="1:2" x14ac:dyDescent="0.3">
      <c r="A718" t="s">
        <v>194</v>
      </c>
      <c r="B718" t="s">
        <v>195</v>
      </c>
    </row>
    <row r="719" spans="1:2" x14ac:dyDescent="0.3">
      <c r="A719" t="s">
        <v>252</v>
      </c>
      <c r="B719" t="s">
        <v>253</v>
      </c>
    </row>
    <row r="720" spans="1:2" x14ac:dyDescent="0.3">
      <c r="A720" t="s">
        <v>1030</v>
      </c>
      <c r="B720" t="s">
        <v>1031</v>
      </c>
    </row>
    <row r="721" spans="1:2" x14ac:dyDescent="0.3">
      <c r="A721" t="s">
        <v>1844</v>
      </c>
      <c r="B721" t="s">
        <v>1845</v>
      </c>
    </row>
    <row r="722" spans="1:2" x14ac:dyDescent="0.3">
      <c r="A722" t="s">
        <v>1976</v>
      </c>
      <c r="B722" t="s">
        <v>1977</v>
      </c>
    </row>
    <row r="723" spans="1:2" x14ac:dyDescent="0.3">
      <c r="A723" t="s">
        <v>1974</v>
      </c>
      <c r="B723" t="s">
        <v>1975</v>
      </c>
    </row>
    <row r="724" spans="1:2" x14ac:dyDescent="0.3">
      <c r="A724" t="s">
        <v>1989</v>
      </c>
      <c r="B724" t="s">
        <v>1990</v>
      </c>
    </row>
    <row r="725" spans="1:2" x14ac:dyDescent="0.3">
      <c r="A725" t="s">
        <v>1826</v>
      </c>
      <c r="B725" t="s">
        <v>1827</v>
      </c>
    </row>
    <row r="726" spans="1:2" x14ac:dyDescent="0.3">
      <c r="A726" t="s">
        <v>1940</v>
      </c>
      <c r="B726" t="s">
        <v>1941</v>
      </c>
    </row>
    <row r="727" spans="1:2" x14ac:dyDescent="0.3">
      <c r="A727" t="s">
        <v>1987</v>
      </c>
      <c r="B727" t="s">
        <v>1988</v>
      </c>
    </row>
    <row r="728" spans="1:2" x14ac:dyDescent="0.3">
      <c r="A728" t="s">
        <v>1910</v>
      </c>
      <c r="B728" t="s">
        <v>1911</v>
      </c>
    </row>
    <row r="729" spans="1:2" x14ac:dyDescent="0.3">
      <c r="A729" t="s">
        <v>1894</v>
      </c>
      <c r="B729" t="s">
        <v>1895</v>
      </c>
    </row>
    <row r="730" spans="1:2" x14ac:dyDescent="0.3">
      <c r="A730" t="s">
        <v>1856</v>
      </c>
      <c r="B730" t="s">
        <v>1857</v>
      </c>
    </row>
    <row r="731" spans="1:2" x14ac:dyDescent="0.3">
      <c r="A731" t="s">
        <v>1888</v>
      </c>
      <c r="B731" t="s">
        <v>1889</v>
      </c>
    </row>
    <row r="732" spans="1:2" x14ac:dyDescent="0.3">
      <c r="A732" t="s">
        <v>2112</v>
      </c>
      <c r="B732" t="s">
        <v>2113</v>
      </c>
    </row>
    <row r="733" spans="1:2" x14ac:dyDescent="0.3">
      <c r="A733" t="s">
        <v>1778</v>
      </c>
      <c r="B733" t="s">
        <v>1779</v>
      </c>
    </row>
    <row r="734" spans="1:2" x14ac:dyDescent="0.3">
      <c r="A734" t="s">
        <v>1806</v>
      </c>
      <c r="B734" t="s">
        <v>1807</v>
      </c>
    </row>
    <row r="735" spans="1:2" x14ac:dyDescent="0.3">
      <c r="A735" t="s">
        <v>1902</v>
      </c>
      <c r="B735" t="s">
        <v>1903</v>
      </c>
    </row>
    <row r="736" spans="1:2" x14ac:dyDescent="0.3">
      <c r="A736" t="s">
        <v>1846</v>
      </c>
      <c r="B736" t="s">
        <v>1847</v>
      </c>
    </row>
    <row r="737" spans="1:2" x14ac:dyDescent="0.3">
      <c r="A737" t="s">
        <v>1832</v>
      </c>
      <c r="B737" t="s">
        <v>1833</v>
      </c>
    </row>
    <row r="738" spans="1:2" x14ac:dyDescent="0.3">
      <c r="A738" t="s">
        <v>1890</v>
      </c>
      <c r="B738" t="s">
        <v>1891</v>
      </c>
    </row>
    <row r="739" spans="1:2" x14ac:dyDescent="0.3">
      <c r="A739" t="s">
        <v>1882</v>
      </c>
      <c r="B739" t="s">
        <v>1883</v>
      </c>
    </row>
    <row r="740" spans="1:2" x14ac:dyDescent="0.3">
      <c r="A740" t="s">
        <v>2104</v>
      </c>
      <c r="B740" t="s">
        <v>2105</v>
      </c>
    </row>
    <row r="741" spans="1:2" x14ac:dyDescent="0.3">
      <c r="A741" t="s">
        <v>1800</v>
      </c>
      <c r="B741" t="s">
        <v>1801</v>
      </c>
    </row>
    <row r="742" spans="1:2" x14ac:dyDescent="0.3">
      <c r="A742" t="s">
        <v>1892</v>
      </c>
      <c r="B742" t="s">
        <v>1893</v>
      </c>
    </row>
    <row r="743" spans="1:2" x14ac:dyDescent="0.3">
      <c r="A743" t="s">
        <v>1914</v>
      </c>
      <c r="B743" t="s">
        <v>1915</v>
      </c>
    </row>
    <row r="744" spans="1:2" x14ac:dyDescent="0.3">
      <c r="A744" t="s">
        <v>1908</v>
      </c>
      <c r="B744" t="s">
        <v>1909</v>
      </c>
    </row>
    <row r="745" spans="1:2" x14ac:dyDescent="0.3">
      <c r="A745" t="s">
        <v>1938</v>
      </c>
      <c r="B745" t="s">
        <v>1939</v>
      </c>
    </row>
    <row r="746" spans="1:2" x14ac:dyDescent="0.3">
      <c r="A746" t="s">
        <v>1962</v>
      </c>
      <c r="B746" t="s">
        <v>1963</v>
      </c>
    </row>
    <row r="747" spans="1:2" x14ac:dyDescent="0.3">
      <c r="A747" t="s">
        <v>1964</v>
      </c>
      <c r="B747" t="s">
        <v>1965</v>
      </c>
    </row>
    <row r="748" spans="1:2" x14ac:dyDescent="0.3">
      <c r="A748" t="s">
        <v>1966</v>
      </c>
      <c r="B748" t="s">
        <v>1967</v>
      </c>
    </row>
    <row r="749" spans="1:2" x14ac:dyDescent="0.3">
      <c r="A749" t="s">
        <v>1968</v>
      </c>
      <c r="B749" t="s">
        <v>1969</v>
      </c>
    </row>
    <row r="750" spans="1:2" x14ac:dyDescent="0.3">
      <c r="A750" t="s">
        <v>1970</v>
      </c>
      <c r="B750" t="s">
        <v>1971</v>
      </c>
    </row>
    <row r="751" spans="1:2" x14ac:dyDescent="0.3">
      <c r="A751" t="s">
        <v>1972</v>
      </c>
      <c r="B751" t="s">
        <v>1973</v>
      </c>
    </row>
    <row r="752" spans="1:2" x14ac:dyDescent="0.3">
      <c r="A752" t="s">
        <v>1912</v>
      </c>
      <c r="B752" t="s">
        <v>1913</v>
      </c>
    </row>
    <row r="753" spans="1:2" x14ac:dyDescent="0.3">
      <c r="A753" t="s">
        <v>2108</v>
      </c>
      <c r="B753" t="s">
        <v>2109</v>
      </c>
    </row>
    <row r="754" spans="1:2" x14ac:dyDescent="0.3">
      <c r="A754" t="s">
        <v>1798</v>
      </c>
      <c r="B754" t="s">
        <v>1799</v>
      </c>
    </row>
    <row r="755" spans="1:2" x14ac:dyDescent="0.3">
      <c r="A755" t="s">
        <v>1876</v>
      </c>
      <c r="B755" t="s">
        <v>1877</v>
      </c>
    </row>
    <row r="756" spans="1:2" x14ac:dyDescent="0.3">
      <c r="A756" t="s">
        <v>2114</v>
      </c>
      <c r="B756" t="s">
        <v>2115</v>
      </c>
    </row>
    <row r="757" spans="1:2" x14ac:dyDescent="0.3">
      <c r="A757" t="s">
        <v>1768</v>
      </c>
      <c r="B757" t="s">
        <v>1769</v>
      </c>
    </row>
    <row r="758" spans="1:2" x14ac:dyDescent="0.3">
      <c r="A758" t="s">
        <v>1776</v>
      </c>
      <c r="B758" t="s">
        <v>1777</v>
      </c>
    </row>
    <row r="759" spans="1:2" x14ac:dyDescent="0.3">
      <c r="A759" t="s">
        <v>1986</v>
      </c>
      <c r="B759" t="s">
        <v>398</v>
      </c>
    </row>
    <row r="760" spans="1:2" x14ac:dyDescent="0.3">
      <c r="A760" t="s">
        <v>1786</v>
      </c>
      <c r="B760" t="s">
        <v>1787</v>
      </c>
    </row>
    <row r="761" spans="1:2" x14ac:dyDescent="0.3">
      <c r="A761" t="s">
        <v>2120</v>
      </c>
      <c r="B761" t="s">
        <v>2121</v>
      </c>
    </row>
    <row r="762" spans="1:2" x14ac:dyDescent="0.3">
      <c r="A762" t="s">
        <v>1852</v>
      </c>
      <c r="B762" t="s">
        <v>1853</v>
      </c>
    </row>
    <row r="763" spans="1:2" x14ac:dyDescent="0.3">
      <c r="A763" t="s">
        <v>1944</v>
      </c>
      <c r="B763" t="s">
        <v>1945</v>
      </c>
    </row>
    <row r="764" spans="1:2" x14ac:dyDescent="0.3">
      <c r="A764" t="s">
        <v>1830</v>
      </c>
      <c r="B764" t="s">
        <v>1831</v>
      </c>
    </row>
    <row r="765" spans="1:2" x14ac:dyDescent="0.3">
      <c r="A765" t="s">
        <v>1834</v>
      </c>
      <c r="B765" t="s">
        <v>1835</v>
      </c>
    </row>
    <row r="766" spans="1:2" x14ac:dyDescent="0.3">
      <c r="A766" t="s">
        <v>2106</v>
      </c>
      <c r="B766" t="s">
        <v>2107</v>
      </c>
    </row>
    <row r="767" spans="1:2" x14ac:dyDescent="0.3">
      <c r="A767" t="s">
        <v>1802</v>
      </c>
      <c r="B767" t="s">
        <v>1803</v>
      </c>
    </row>
    <row r="768" spans="1:2" x14ac:dyDescent="0.3">
      <c r="A768" t="s">
        <v>1984</v>
      </c>
      <c r="B768" t="s">
        <v>1985</v>
      </c>
    </row>
    <row r="769" spans="1:2" x14ac:dyDescent="0.3">
      <c r="A769" t="s">
        <v>2128</v>
      </c>
      <c r="B769" t="s">
        <v>2129</v>
      </c>
    </row>
    <row r="770" spans="1:2" x14ac:dyDescent="0.3">
      <c r="A770" t="s">
        <v>1898</v>
      </c>
      <c r="B770" t="s">
        <v>1899</v>
      </c>
    </row>
    <row r="771" spans="1:2" x14ac:dyDescent="0.3">
      <c r="A771" t="s">
        <v>1792</v>
      </c>
      <c r="B771" t="s">
        <v>1793</v>
      </c>
    </row>
    <row r="772" spans="1:2" x14ac:dyDescent="0.3">
      <c r="A772" t="s">
        <v>1842</v>
      </c>
      <c r="B772" t="s">
        <v>1843</v>
      </c>
    </row>
    <row r="773" spans="1:2" x14ac:dyDescent="0.3">
      <c r="A773" t="s">
        <v>1936</v>
      </c>
      <c r="B773" t="s">
        <v>1937</v>
      </c>
    </row>
    <row r="774" spans="1:2" x14ac:dyDescent="0.3">
      <c r="A774" t="s">
        <v>1980</v>
      </c>
      <c r="B774" t="s">
        <v>1981</v>
      </c>
    </row>
    <row r="775" spans="1:2" x14ac:dyDescent="0.3">
      <c r="A775" t="s">
        <v>1770</v>
      </c>
      <c r="B775" t="s">
        <v>1771</v>
      </c>
    </row>
    <row r="776" spans="1:2" x14ac:dyDescent="0.3">
      <c r="A776" t="s">
        <v>1848</v>
      </c>
      <c r="B776" t="s">
        <v>1849</v>
      </c>
    </row>
    <row r="777" spans="1:2" x14ac:dyDescent="0.3">
      <c r="A777" t="s">
        <v>1930</v>
      </c>
      <c r="B777" t="s">
        <v>1931</v>
      </c>
    </row>
    <row r="778" spans="1:2" x14ac:dyDescent="0.3">
      <c r="A778" t="s">
        <v>1794</v>
      </c>
      <c r="B778" t="s">
        <v>1795</v>
      </c>
    </row>
    <row r="779" spans="1:2" x14ac:dyDescent="0.3">
      <c r="A779" t="s">
        <v>1838</v>
      </c>
      <c r="B779" t="s">
        <v>1839</v>
      </c>
    </row>
    <row r="780" spans="1:2" x14ac:dyDescent="0.3">
      <c r="A780" t="s">
        <v>1926</v>
      </c>
      <c r="B780" t="s">
        <v>1927</v>
      </c>
    </row>
    <row r="781" spans="1:2" x14ac:dyDescent="0.3">
      <c r="A781" t="s">
        <v>1836</v>
      </c>
      <c r="B781" t="s">
        <v>1837</v>
      </c>
    </row>
    <row r="782" spans="1:2" x14ac:dyDescent="0.3">
      <c r="A782" t="s">
        <v>1880</v>
      </c>
      <c r="B782" t="s">
        <v>1881</v>
      </c>
    </row>
    <row r="783" spans="1:2" x14ac:dyDescent="0.3">
      <c r="A783" t="s">
        <v>1870</v>
      </c>
      <c r="B783" t="s">
        <v>1871</v>
      </c>
    </row>
    <row r="784" spans="1:2" x14ac:dyDescent="0.3">
      <c r="A784" t="s">
        <v>1808</v>
      </c>
      <c r="B784" t="s">
        <v>1809</v>
      </c>
    </row>
    <row r="785" spans="1:2" x14ac:dyDescent="0.3">
      <c r="A785" t="s">
        <v>1810</v>
      </c>
      <c r="B785" t="s">
        <v>1811</v>
      </c>
    </row>
    <row r="786" spans="1:2" x14ac:dyDescent="0.3">
      <c r="A786" t="s">
        <v>1864</v>
      </c>
      <c r="B786" t="s">
        <v>1865</v>
      </c>
    </row>
    <row r="787" spans="1:2" x14ac:dyDescent="0.3">
      <c r="A787" t="s">
        <v>1804</v>
      </c>
      <c r="B787" t="s">
        <v>1805</v>
      </c>
    </row>
    <row r="788" spans="1:2" x14ac:dyDescent="0.3">
      <c r="A788" t="s">
        <v>2118</v>
      </c>
      <c r="B788" t="s">
        <v>2119</v>
      </c>
    </row>
    <row r="789" spans="1:2" x14ac:dyDescent="0.3">
      <c r="A789" t="s">
        <v>1782</v>
      </c>
      <c r="B789" t="s">
        <v>1783</v>
      </c>
    </row>
    <row r="790" spans="1:2" x14ac:dyDescent="0.3">
      <c r="A790" t="s">
        <v>1900</v>
      </c>
      <c r="B790" t="s">
        <v>1901</v>
      </c>
    </row>
    <row r="791" spans="1:2" x14ac:dyDescent="0.3">
      <c r="A791" t="s">
        <v>1932</v>
      </c>
      <c r="B791" t="s">
        <v>1933</v>
      </c>
    </row>
    <row r="792" spans="1:2" x14ac:dyDescent="0.3">
      <c r="A792" t="s">
        <v>2110</v>
      </c>
      <c r="B792" t="s">
        <v>2111</v>
      </c>
    </row>
    <row r="793" spans="1:2" x14ac:dyDescent="0.3">
      <c r="A793" t="s">
        <v>1796</v>
      </c>
      <c r="B793" t="s">
        <v>1797</v>
      </c>
    </row>
    <row r="794" spans="1:2" x14ac:dyDescent="0.3">
      <c r="A794" t="s">
        <v>1906</v>
      </c>
      <c r="B794" t="s">
        <v>1907</v>
      </c>
    </row>
    <row r="795" spans="1:2" x14ac:dyDescent="0.3">
      <c r="A795" t="s">
        <v>2027</v>
      </c>
      <c r="B795" t="s">
        <v>2028</v>
      </c>
    </row>
    <row r="796" spans="1:2" x14ac:dyDescent="0.3">
      <c r="A796" t="s">
        <v>1982</v>
      </c>
      <c r="B796" t="s">
        <v>1983</v>
      </c>
    </row>
    <row r="797" spans="1:2" x14ac:dyDescent="0.3">
      <c r="A797" t="s">
        <v>1934</v>
      </c>
      <c r="B797" t="s">
        <v>1935</v>
      </c>
    </row>
    <row r="798" spans="1:2" x14ac:dyDescent="0.3">
      <c r="A798" t="s">
        <v>2116</v>
      </c>
      <c r="B798" t="s">
        <v>2117</v>
      </c>
    </row>
    <row r="799" spans="1:2" x14ac:dyDescent="0.3">
      <c r="A799" t="s">
        <v>1780</v>
      </c>
      <c r="B799" t="s">
        <v>1781</v>
      </c>
    </row>
    <row r="800" spans="1:2" x14ac:dyDescent="0.3">
      <c r="A800" t="s">
        <v>2011</v>
      </c>
      <c r="B800" t="s">
        <v>2012</v>
      </c>
    </row>
    <row r="801" spans="1:2" x14ac:dyDescent="0.3">
      <c r="A801" t="s">
        <v>1993</v>
      </c>
      <c r="B801" t="s">
        <v>1994</v>
      </c>
    </row>
    <row r="802" spans="1:2" x14ac:dyDescent="0.3">
      <c r="A802" t="s">
        <v>2005</v>
      </c>
      <c r="B802" t="s">
        <v>2006</v>
      </c>
    </row>
    <row r="803" spans="1:2" x14ac:dyDescent="0.3">
      <c r="A803" t="s">
        <v>2007</v>
      </c>
      <c r="B803" t="s">
        <v>2008</v>
      </c>
    </row>
    <row r="804" spans="1:2" x14ac:dyDescent="0.3">
      <c r="A804" t="s">
        <v>2009</v>
      </c>
      <c r="B804" t="s">
        <v>2010</v>
      </c>
    </row>
    <row r="805" spans="1:2" x14ac:dyDescent="0.3">
      <c r="A805" t="s">
        <v>1997</v>
      </c>
      <c r="B805" t="s">
        <v>1998</v>
      </c>
    </row>
    <row r="806" spans="1:2" x14ac:dyDescent="0.3">
      <c r="A806" t="s">
        <v>2019</v>
      </c>
      <c r="B806" t="s">
        <v>2020</v>
      </c>
    </row>
    <row r="807" spans="1:2" x14ac:dyDescent="0.3">
      <c r="A807" t="s">
        <v>1991</v>
      </c>
      <c r="B807" t="s">
        <v>1992</v>
      </c>
    </row>
    <row r="808" spans="1:2" x14ac:dyDescent="0.3">
      <c r="A808" t="s">
        <v>2013</v>
      </c>
      <c r="B808" t="s">
        <v>2014</v>
      </c>
    </row>
    <row r="809" spans="1:2" x14ac:dyDescent="0.3">
      <c r="A809" t="s">
        <v>2015</v>
      </c>
      <c r="B809" t="s">
        <v>2016</v>
      </c>
    </row>
    <row r="810" spans="1:2" x14ac:dyDescent="0.3">
      <c r="A810" t="s">
        <v>2021</v>
      </c>
      <c r="B810" t="s">
        <v>2022</v>
      </c>
    </row>
    <row r="811" spans="1:2" x14ac:dyDescent="0.3">
      <c r="A811" t="s">
        <v>2023</v>
      </c>
      <c r="B811" t="s">
        <v>2024</v>
      </c>
    </row>
    <row r="812" spans="1:2" x14ac:dyDescent="0.3">
      <c r="A812" t="s">
        <v>1999</v>
      </c>
      <c r="B812" t="s">
        <v>2000</v>
      </c>
    </row>
    <row r="813" spans="1:2" x14ac:dyDescent="0.3">
      <c r="A813" t="s">
        <v>2001</v>
      </c>
      <c r="B813" t="s">
        <v>2002</v>
      </c>
    </row>
    <row r="814" spans="1:2" x14ac:dyDescent="0.3">
      <c r="A814" t="s">
        <v>1774</v>
      </c>
      <c r="B814" t="s">
        <v>1775</v>
      </c>
    </row>
    <row r="815" spans="1:2" x14ac:dyDescent="0.3">
      <c r="A815" t="s">
        <v>1920</v>
      </c>
      <c r="B815" t="s">
        <v>1921</v>
      </c>
    </row>
    <row r="816" spans="1:2" x14ac:dyDescent="0.3">
      <c r="A816" t="s">
        <v>1828</v>
      </c>
      <c r="B816" t="s">
        <v>1829</v>
      </c>
    </row>
    <row r="817" spans="1:2" x14ac:dyDescent="0.3">
      <c r="A817" t="s">
        <v>1884</v>
      </c>
      <c r="B817" t="s">
        <v>1885</v>
      </c>
    </row>
    <row r="818" spans="1:2" x14ac:dyDescent="0.3">
      <c r="A818" t="s">
        <v>1922</v>
      </c>
      <c r="B818" t="s">
        <v>1923</v>
      </c>
    </row>
    <row r="819" spans="1:2" x14ac:dyDescent="0.3">
      <c r="A819" t="s">
        <v>1942</v>
      </c>
      <c r="B819" t="s">
        <v>1943</v>
      </c>
    </row>
    <row r="820" spans="1:2" x14ac:dyDescent="0.3">
      <c r="A820" t="s">
        <v>1995</v>
      </c>
      <c r="B820" t="s">
        <v>1996</v>
      </c>
    </row>
    <row r="821" spans="1:2" x14ac:dyDescent="0.3">
      <c r="A821" t="s">
        <v>1814</v>
      </c>
      <c r="B821" t="s">
        <v>1087</v>
      </c>
    </row>
    <row r="822" spans="1:2" x14ac:dyDescent="0.3">
      <c r="A822" t="s">
        <v>1817</v>
      </c>
      <c r="B822" t="s">
        <v>1818</v>
      </c>
    </row>
    <row r="823" spans="1:2" x14ac:dyDescent="0.3">
      <c r="A823" t="s">
        <v>1815</v>
      </c>
      <c r="B823" t="s">
        <v>1816</v>
      </c>
    </row>
    <row r="824" spans="1:2" x14ac:dyDescent="0.3">
      <c r="A824" t="s">
        <v>1819</v>
      </c>
      <c r="B824" t="s">
        <v>1087</v>
      </c>
    </row>
    <row r="825" spans="1:2" x14ac:dyDescent="0.3">
      <c r="A825" t="s">
        <v>1822</v>
      </c>
      <c r="B825" t="s">
        <v>1823</v>
      </c>
    </row>
    <row r="826" spans="1:2" x14ac:dyDescent="0.3">
      <c r="A826" t="s">
        <v>1978</v>
      </c>
      <c r="B826" t="s">
        <v>1979</v>
      </c>
    </row>
    <row r="827" spans="1:2" x14ac:dyDescent="0.3">
      <c r="A827" t="s">
        <v>2017</v>
      </c>
      <c r="B827" t="s">
        <v>2018</v>
      </c>
    </row>
    <row r="828" spans="1:2" x14ac:dyDescent="0.3">
      <c r="A828" t="s">
        <v>2122</v>
      </c>
      <c r="B828" t="s">
        <v>2123</v>
      </c>
    </row>
    <row r="829" spans="1:2" x14ac:dyDescent="0.3">
      <c r="A829" t="s">
        <v>1788</v>
      </c>
      <c r="B829" t="s">
        <v>1789</v>
      </c>
    </row>
    <row r="830" spans="1:2" x14ac:dyDescent="0.3">
      <c r="A830" t="s">
        <v>1850</v>
      </c>
      <c r="B830" t="s">
        <v>1851</v>
      </c>
    </row>
    <row r="831" spans="1:2" x14ac:dyDescent="0.3">
      <c r="A831" t="s">
        <v>1904</v>
      </c>
      <c r="B831" t="s">
        <v>1905</v>
      </c>
    </row>
    <row r="832" spans="1:2" x14ac:dyDescent="0.3">
      <c r="A832" t="s">
        <v>1772</v>
      </c>
      <c r="B832" t="s">
        <v>1773</v>
      </c>
    </row>
    <row r="833" spans="1:2" x14ac:dyDescent="0.3">
      <c r="A833" t="s">
        <v>1928</v>
      </c>
      <c r="B833" t="s">
        <v>1929</v>
      </c>
    </row>
    <row r="834" spans="1:2" x14ac:dyDescent="0.3">
      <c r="A834" t="s">
        <v>1866</v>
      </c>
      <c r="B834" t="s">
        <v>1867</v>
      </c>
    </row>
    <row r="835" spans="1:2" x14ac:dyDescent="0.3">
      <c r="A835" t="s">
        <v>2124</v>
      </c>
      <c r="B835" t="s">
        <v>2125</v>
      </c>
    </row>
    <row r="836" spans="1:2" x14ac:dyDescent="0.3">
      <c r="A836" t="s">
        <v>1784</v>
      </c>
      <c r="B836" t="s">
        <v>1785</v>
      </c>
    </row>
    <row r="837" spans="1:2" x14ac:dyDescent="0.3">
      <c r="A837" t="s">
        <v>2025</v>
      </c>
      <c r="B837" t="s">
        <v>2026</v>
      </c>
    </row>
    <row r="838" spans="1:2" x14ac:dyDescent="0.3">
      <c r="A838" t="s">
        <v>1874</v>
      </c>
      <c r="B838" t="s">
        <v>1875</v>
      </c>
    </row>
    <row r="839" spans="1:2" x14ac:dyDescent="0.3">
      <c r="A839" t="s">
        <v>2029</v>
      </c>
      <c r="B839" t="s">
        <v>2030</v>
      </c>
    </row>
    <row r="840" spans="1:2" x14ac:dyDescent="0.3">
      <c r="A840" t="s">
        <v>2032</v>
      </c>
      <c r="B840" t="s">
        <v>1017</v>
      </c>
    </row>
    <row r="841" spans="1:2" x14ac:dyDescent="0.3">
      <c r="A841" t="s">
        <v>1858</v>
      </c>
      <c r="B841" t="s">
        <v>1859</v>
      </c>
    </row>
    <row r="842" spans="1:2" x14ac:dyDescent="0.3">
      <c r="A842" t="s">
        <v>2035</v>
      </c>
      <c r="B842" t="s">
        <v>436</v>
      </c>
    </row>
    <row r="843" spans="1:2" x14ac:dyDescent="0.3">
      <c r="A843" t="s">
        <v>1766</v>
      </c>
      <c r="B843" t="s">
        <v>1767</v>
      </c>
    </row>
    <row r="844" spans="1:2" x14ac:dyDescent="0.3">
      <c r="A844" t="s">
        <v>2036</v>
      </c>
      <c r="B844" t="s">
        <v>2037</v>
      </c>
    </row>
    <row r="845" spans="1:2" x14ac:dyDescent="0.3">
      <c r="A845" t="s">
        <v>2046</v>
      </c>
      <c r="B845" t="s">
        <v>2047</v>
      </c>
    </row>
    <row r="846" spans="1:2" x14ac:dyDescent="0.3">
      <c r="A846" t="s">
        <v>2050</v>
      </c>
      <c r="B846" t="s">
        <v>2051</v>
      </c>
    </row>
    <row r="847" spans="1:2" x14ac:dyDescent="0.3">
      <c r="A847" t="s">
        <v>2052</v>
      </c>
      <c r="B847" t="s">
        <v>2053</v>
      </c>
    </row>
    <row r="848" spans="1:2" x14ac:dyDescent="0.3">
      <c r="A848" t="s">
        <v>2048</v>
      </c>
      <c r="B848" t="s">
        <v>2049</v>
      </c>
    </row>
    <row r="849" spans="1:2" x14ac:dyDescent="0.3">
      <c r="A849" t="s">
        <v>2161</v>
      </c>
      <c r="B849" t="s">
        <v>2162</v>
      </c>
    </row>
    <row r="850" spans="1:2" x14ac:dyDescent="0.3">
      <c r="A850" t="s">
        <v>2159</v>
      </c>
      <c r="B850" t="s">
        <v>2160</v>
      </c>
    </row>
    <row r="851" spans="1:2" x14ac:dyDescent="0.3">
      <c r="A851" t="s">
        <v>2145</v>
      </c>
      <c r="B851" t="s">
        <v>2146</v>
      </c>
    </row>
    <row r="852" spans="1:2" x14ac:dyDescent="0.3">
      <c r="A852" t="s">
        <v>2167</v>
      </c>
      <c r="B852" t="s">
        <v>2168</v>
      </c>
    </row>
    <row r="853" spans="1:2" x14ac:dyDescent="0.3">
      <c r="A853" t="s">
        <v>2171</v>
      </c>
      <c r="B853" t="s">
        <v>398</v>
      </c>
    </row>
    <row r="854" spans="1:2" x14ac:dyDescent="0.3">
      <c r="A854" t="s">
        <v>2147</v>
      </c>
      <c r="B854" t="s">
        <v>2148</v>
      </c>
    </row>
    <row r="855" spans="1:2" x14ac:dyDescent="0.3">
      <c r="A855" t="s">
        <v>2165</v>
      </c>
      <c r="B855" t="s">
        <v>2166</v>
      </c>
    </row>
    <row r="856" spans="1:2" x14ac:dyDescent="0.3">
      <c r="A856" t="s">
        <v>2176</v>
      </c>
      <c r="B856" t="s">
        <v>2177</v>
      </c>
    </row>
    <row r="857" spans="1:2" x14ac:dyDescent="0.3">
      <c r="A857" t="s">
        <v>2143</v>
      </c>
      <c r="B857" t="s">
        <v>2144</v>
      </c>
    </row>
    <row r="858" spans="1:2" x14ac:dyDescent="0.3">
      <c r="A858" t="s">
        <v>2142</v>
      </c>
      <c r="B858" t="s">
        <v>1165</v>
      </c>
    </row>
    <row r="859" spans="1:2" x14ac:dyDescent="0.3">
      <c r="A859" t="s">
        <v>2138</v>
      </c>
      <c r="B859" t="s">
        <v>2139</v>
      </c>
    </row>
    <row r="860" spans="1:2" x14ac:dyDescent="0.3">
      <c r="A860" t="s">
        <v>2140</v>
      </c>
      <c r="B860" t="s">
        <v>2141</v>
      </c>
    </row>
    <row r="861" spans="1:2" x14ac:dyDescent="0.3">
      <c r="A861" t="s">
        <v>2151</v>
      </c>
      <c r="B861" t="s">
        <v>2152</v>
      </c>
    </row>
    <row r="862" spans="1:2" x14ac:dyDescent="0.3">
      <c r="A862" t="s">
        <v>2153</v>
      </c>
      <c r="B862" t="s">
        <v>2154</v>
      </c>
    </row>
    <row r="863" spans="1:2" x14ac:dyDescent="0.3">
      <c r="A863" t="s">
        <v>2174</v>
      </c>
      <c r="B863" t="s">
        <v>2175</v>
      </c>
    </row>
    <row r="864" spans="1:2" x14ac:dyDescent="0.3">
      <c r="A864" t="s">
        <v>2155</v>
      </c>
      <c r="B864" t="s">
        <v>2156</v>
      </c>
    </row>
    <row r="865" spans="1:2" x14ac:dyDescent="0.3">
      <c r="A865" t="s">
        <v>2157</v>
      </c>
      <c r="B865" t="s">
        <v>2158</v>
      </c>
    </row>
    <row r="866" spans="1:2" x14ac:dyDescent="0.3">
      <c r="A866" t="s">
        <v>2172</v>
      </c>
      <c r="B866" t="s">
        <v>2173</v>
      </c>
    </row>
    <row r="867" spans="1:2" x14ac:dyDescent="0.3">
      <c r="A867" t="s">
        <v>2163</v>
      </c>
      <c r="B867" t="s">
        <v>2164</v>
      </c>
    </row>
    <row r="868" spans="1:2" x14ac:dyDescent="0.3">
      <c r="A868" t="s">
        <v>2149</v>
      </c>
      <c r="B868" t="s">
        <v>2150</v>
      </c>
    </row>
    <row r="869" spans="1:2" x14ac:dyDescent="0.3">
      <c r="A869" t="s">
        <v>2169</v>
      </c>
      <c r="B869" t="s">
        <v>2170</v>
      </c>
    </row>
    <row r="870" spans="1:2" x14ac:dyDescent="0.3">
      <c r="A870" t="s">
        <v>1872</v>
      </c>
      <c r="B870" t="s">
        <v>1873</v>
      </c>
    </row>
    <row r="871" spans="1:2" x14ac:dyDescent="0.3">
      <c r="A871" t="s">
        <v>2070</v>
      </c>
      <c r="B871" t="s">
        <v>2071</v>
      </c>
    </row>
    <row r="872" spans="1:2" x14ac:dyDescent="0.3">
      <c r="A872" t="s">
        <v>2064</v>
      </c>
      <c r="B872" t="s">
        <v>2065</v>
      </c>
    </row>
    <row r="873" spans="1:2" x14ac:dyDescent="0.3">
      <c r="A873" t="s">
        <v>2068</v>
      </c>
      <c r="B873" t="s">
        <v>2069</v>
      </c>
    </row>
    <row r="874" spans="1:2" x14ac:dyDescent="0.3">
      <c r="A874" t="s">
        <v>2090</v>
      </c>
      <c r="B874" t="s">
        <v>2091</v>
      </c>
    </row>
    <row r="875" spans="1:2" x14ac:dyDescent="0.3">
      <c r="A875" t="s">
        <v>2066</v>
      </c>
      <c r="B875" t="s">
        <v>2067</v>
      </c>
    </row>
    <row r="876" spans="1:2" x14ac:dyDescent="0.3">
      <c r="A876" t="s">
        <v>2094</v>
      </c>
      <c r="B876" t="s">
        <v>2095</v>
      </c>
    </row>
    <row r="877" spans="1:2" x14ac:dyDescent="0.3">
      <c r="A877" t="s">
        <v>2092</v>
      </c>
      <c r="B877" t="s">
        <v>2093</v>
      </c>
    </row>
    <row r="878" spans="1:2" x14ac:dyDescent="0.3">
      <c r="A878" t="s">
        <v>2088</v>
      </c>
      <c r="B878" t="s">
        <v>2089</v>
      </c>
    </row>
    <row r="879" spans="1:2" x14ac:dyDescent="0.3">
      <c r="A879" t="s">
        <v>2072</v>
      </c>
      <c r="B879" t="s">
        <v>2073</v>
      </c>
    </row>
    <row r="880" spans="1:2" x14ac:dyDescent="0.3">
      <c r="A880" t="s">
        <v>2084</v>
      </c>
      <c r="B880" t="s">
        <v>2085</v>
      </c>
    </row>
    <row r="881" spans="1:2" x14ac:dyDescent="0.3">
      <c r="A881" t="s">
        <v>2080</v>
      </c>
      <c r="B881" t="s">
        <v>2081</v>
      </c>
    </row>
    <row r="882" spans="1:2" x14ac:dyDescent="0.3">
      <c r="A882" t="s">
        <v>2082</v>
      </c>
      <c r="B882" t="s">
        <v>2083</v>
      </c>
    </row>
    <row r="883" spans="1:2" x14ac:dyDescent="0.3">
      <c r="A883" t="s">
        <v>2096</v>
      </c>
      <c r="B883" t="s">
        <v>2097</v>
      </c>
    </row>
    <row r="884" spans="1:2" x14ac:dyDescent="0.3">
      <c r="A884" t="s">
        <v>2076</v>
      </c>
      <c r="B884" t="s">
        <v>2077</v>
      </c>
    </row>
    <row r="885" spans="1:2" x14ac:dyDescent="0.3">
      <c r="A885" t="s">
        <v>2098</v>
      </c>
      <c r="B885" t="s">
        <v>2099</v>
      </c>
    </row>
    <row r="886" spans="1:2" x14ac:dyDescent="0.3">
      <c r="A886" t="s">
        <v>2078</v>
      </c>
      <c r="B886" t="s">
        <v>2079</v>
      </c>
    </row>
    <row r="887" spans="1:2" x14ac:dyDescent="0.3">
      <c r="A887" t="s">
        <v>2086</v>
      </c>
      <c r="B887" t="s">
        <v>2087</v>
      </c>
    </row>
    <row r="888" spans="1:2" x14ac:dyDescent="0.3">
      <c r="A888" t="s">
        <v>2100</v>
      </c>
      <c r="B888" t="s">
        <v>2101</v>
      </c>
    </row>
    <row r="889" spans="1:2" x14ac:dyDescent="0.3">
      <c r="A889" t="s">
        <v>2062</v>
      </c>
      <c r="B889" t="s">
        <v>2063</v>
      </c>
    </row>
    <row r="890" spans="1:2" x14ac:dyDescent="0.3">
      <c r="A890" t="s">
        <v>2074</v>
      </c>
      <c r="B890" t="s">
        <v>2075</v>
      </c>
    </row>
    <row r="891" spans="1:2" x14ac:dyDescent="0.3">
      <c r="A891" t="s">
        <v>2058</v>
      </c>
      <c r="B891" t="s">
        <v>2059</v>
      </c>
    </row>
    <row r="892" spans="1:2" x14ac:dyDescent="0.3">
      <c r="A892" t="s">
        <v>1956</v>
      </c>
      <c r="B892" t="s">
        <v>1957</v>
      </c>
    </row>
    <row r="893" spans="1:2" x14ac:dyDescent="0.3">
      <c r="A893" t="s">
        <v>1958</v>
      </c>
      <c r="B893" t="s">
        <v>1959</v>
      </c>
    </row>
    <row r="894" spans="1:2" x14ac:dyDescent="0.3">
      <c r="A894" t="s">
        <v>1812</v>
      </c>
      <c r="B894" t="s">
        <v>1813</v>
      </c>
    </row>
    <row r="895" spans="1:2" x14ac:dyDescent="0.3">
      <c r="A895" t="s">
        <v>1862</v>
      </c>
      <c r="B895" t="s">
        <v>1863</v>
      </c>
    </row>
    <row r="896" spans="1:2" x14ac:dyDescent="0.3">
      <c r="A896" t="s">
        <v>1824</v>
      </c>
      <c r="B896" t="s">
        <v>1825</v>
      </c>
    </row>
    <row r="897" spans="1:2" x14ac:dyDescent="0.3">
      <c r="A897" t="s">
        <v>1886</v>
      </c>
      <c r="B897" t="s">
        <v>1887</v>
      </c>
    </row>
    <row r="898" spans="1:2" x14ac:dyDescent="0.3">
      <c r="A898" t="s">
        <v>2044</v>
      </c>
      <c r="B898" t="s">
        <v>2045</v>
      </c>
    </row>
    <row r="899" spans="1:2" x14ac:dyDescent="0.3">
      <c r="A899" t="s">
        <v>1918</v>
      </c>
      <c r="B899" t="s">
        <v>1919</v>
      </c>
    </row>
    <row r="900" spans="1:2" x14ac:dyDescent="0.3">
      <c r="A900" t="s">
        <v>1820</v>
      </c>
      <c r="B900" t="s">
        <v>1821</v>
      </c>
    </row>
    <row r="901" spans="1:2" x14ac:dyDescent="0.3">
      <c r="A901" t="s">
        <v>1840</v>
      </c>
      <c r="B901" t="s">
        <v>1841</v>
      </c>
    </row>
    <row r="902" spans="1:2" x14ac:dyDescent="0.3">
      <c r="A902" t="s">
        <v>2042</v>
      </c>
      <c r="B902" t="s">
        <v>2043</v>
      </c>
    </row>
    <row r="903" spans="1:2" x14ac:dyDescent="0.3">
      <c r="A903" t="s">
        <v>1868</v>
      </c>
      <c r="B903" t="s">
        <v>1869</v>
      </c>
    </row>
    <row r="904" spans="1:2" x14ac:dyDescent="0.3">
      <c r="A904" t="s">
        <v>1946</v>
      </c>
      <c r="B904" t="s">
        <v>1947</v>
      </c>
    </row>
    <row r="905" spans="1:2" x14ac:dyDescent="0.3">
      <c r="A905" t="s">
        <v>2040</v>
      </c>
      <c r="B905" t="s">
        <v>2041</v>
      </c>
    </row>
    <row r="906" spans="1:2" x14ac:dyDescent="0.3">
      <c r="A906" t="s">
        <v>2054</v>
      </c>
      <c r="B906" t="s">
        <v>2055</v>
      </c>
    </row>
    <row r="907" spans="1:2" x14ac:dyDescent="0.3">
      <c r="A907" t="s">
        <v>2038</v>
      </c>
      <c r="B907" t="s">
        <v>2039</v>
      </c>
    </row>
    <row r="908" spans="1:2" x14ac:dyDescent="0.3">
      <c r="A908" t="s">
        <v>2033</v>
      </c>
      <c r="B908" t="s">
        <v>2034</v>
      </c>
    </row>
    <row r="909" spans="1:2" x14ac:dyDescent="0.3">
      <c r="A909" t="s">
        <v>2060</v>
      </c>
      <c r="B909" t="s">
        <v>2061</v>
      </c>
    </row>
    <row r="910" spans="1:2" x14ac:dyDescent="0.3">
      <c r="A910" t="s">
        <v>2102</v>
      </c>
      <c r="B910" t="s">
        <v>2103</v>
      </c>
    </row>
    <row r="911" spans="1:2" x14ac:dyDescent="0.3">
      <c r="A911" t="s">
        <v>2132</v>
      </c>
      <c r="B911" t="s">
        <v>2133</v>
      </c>
    </row>
    <row r="912" spans="1:2" x14ac:dyDescent="0.3">
      <c r="A912" t="s">
        <v>2134</v>
      </c>
      <c r="B912" t="s">
        <v>2135</v>
      </c>
    </row>
    <row r="913" spans="1:2" x14ac:dyDescent="0.3">
      <c r="A913" t="s">
        <v>2130</v>
      </c>
      <c r="B913" t="s">
        <v>2131</v>
      </c>
    </row>
    <row r="914" spans="1:2" x14ac:dyDescent="0.3">
      <c r="A914" t="s">
        <v>2136</v>
      </c>
      <c r="B914" t="s">
        <v>2137</v>
      </c>
    </row>
    <row r="915" spans="1:2" x14ac:dyDescent="0.3">
      <c r="A915" t="s">
        <v>1916</v>
      </c>
      <c r="B915" t="s">
        <v>1917</v>
      </c>
    </row>
    <row r="916" spans="1:2" x14ac:dyDescent="0.3">
      <c r="A916" t="s">
        <v>1854</v>
      </c>
      <c r="B916" t="s">
        <v>1855</v>
      </c>
    </row>
    <row r="917" spans="1:2" x14ac:dyDescent="0.3">
      <c r="A917" t="s">
        <v>2056</v>
      </c>
      <c r="B917" t="s">
        <v>2057</v>
      </c>
    </row>
    <row r="918" spans="1:2" x14ac:dyDescent="0.3">
      <c r="A918" t="s">
        <v>1948</v>
      </c>
      <c r="B918" t="s">
        <v>1949</v>
      </c>
    </row>
    <row r="919" spans="1:2" x14ac:dyDescent="0.3">
      <c r="A919" t="s">
        <v>1950</v>
      </c>
      <c r="B919" t="s">
        <v>1951</v>
      </c>
    </row>
    <row r="920" spans="1:2" x14ac:dyDescent="0.3">
      <c r="A920" t="s">
        <v>1952</v>
      </c>
      <c r="B920" t="s">
        <v>1953</v>
      </c>
    </row>
    <row r="921" spans="1:2" x14ac:dyDescent="0.3">
      <c r="A921" t="s">
        <v>1954</v>
      </c>
      <c r="B921" t="s">
        <v>1955</v>
      </c>
    </row>
    <row r="922" spans="1:2" x14ac:dyDescent="0.3">
      <c r="A922" t="s">
        <v>1924</v>
      </c>
      <c r="B922" t="s">
        <v>1925</v>
      </c>
    </row>
    <row r="923" spans="1:2" x14ac:dyDescent="0.3">
      <c r="A923" t="s">
        <v>1878</v>
      </c>
      <c r="B923" t="s">
        <v>1879</v>
      </c>
    </row>
    <row r="924" spans="1:2" x14ac:dyDescent="0.3">
      <c r="A924" t="s">
        <v>1860</v>
      </c>
      <c r="B924" t="s">
        <v>1861</v>
      </c>
    </row>
    <row r="925" spans="1:2" x14ac:dyDescent="0.3">
      <c r="A925" t="s">
        <v>2031</v>
      </c>
      <c r="B925" t="s">
        <v>873</v>
      </c>
    </row>
    <row r="926" spans="1:2" x14ac:dyDescent="0.3">
      <c r="A926" t="s">
        <v>1960</v>
      </c>
      <c r="B926" t="s">
        <v>1961</v>
      </c>
    </row>
    <row r="927" spans="1:2" x14ac:dyDescent="0.3">
      <c r="A927" t="s">
        <v>2003</v>
      </c>
      <c r="B927" t="s">
        <v>2004</v>
      </c>
    </row>
    <row r="928" spans="1:2" x14ac:dyDescent="0.3">
      <c r="A928" t="s">
        <v>1896</v>
      </c>
      <c r="B928" t="s">
        <v>1897</v>
      </c>
    </row>
    <row r="929" spans="1:2" x14ac:dyDescent="0.3">
      <c r="A929" t="s">
        <v>2126</v>
      </c>
      <c r="B929" t="s">
        <v>2127</v>
      </c>
    </row>
    <row r="930" spans="1:2" x14ac:dyDescent="0.3">
      <c r="A930" t="s">
        <v>1790</v>
      </c>
      <c r="B930" t="s">
        <v>1791</v>
      </c>
    </row>
    <row r="931" spans="1:2" x14ac:dyDescent="0.3">
      <c r="A931" t="s">
        <v>1016</v>
      </c>
      <c r="B931" t="s">
        <v>1017</v>
      </c>
    </row>
    <row r="932" spans="1:2" x14ac:dyDescent="0.3">
      <c r="A932" t="s">
        <v>1018</v>
      </c>
      <c r="B932" t="s">
        <v>875</v>
      </c>
    </row>
    <row r="933" spans="1:2" x14ac:dyDescent="0.3">
      <c r="A933" t="s">
        <v>206</v>
      </c>
      <c r="B933" t="s">
        <v>207</v>
      </c>
    </row>
    <row r="934" spans="1:2" x14ac:dyDescent="0.3">
      <c r="A934" t="s">
        <v>773</v>
      </c>
      <c r="B934" t="s">
        <v>774</v>
      </c>
    </row>
    <row r="935" spans="1:2" x14ac:dyDescent="0.3">
      <c r="A935" t="s">
        <v>797</v>
      </c>
      <c r="B935" t="s">
        <v>798</v>
      </c>
    </row>
    <row r="936" spans="1:2" x14ac:dyDescent="0.3">
      <c r="A936" t="s">
        <v>435</v>
      </c>
      <c r="B936" t="s">
        <v>436</v>
      </c>
    </row>
    <row r="937" spans="1:2" x14ac:dyDescent="0.3">
      <c r="A937" t="s">
        <v>315</v>
      </c>
      <c r="B937" t="s">
        <v>316</v>
      </c>
    </row>
    <row r="938" spans="1:2" x14ac:dyDescent="0.3">
      <c r="A938" t="s">
        <v>1145</v>
      </c>
      <c r="B938" t="s">
        <v>1146</v>
      </c>
    </row>
    <row r="939" spans="1:2" x14ac:dyDescent="0.3">
      <c r="A939" t="s">
        <v>1527</v>
      </c>
      <c r="B939" t="s">
        <v>1528</v>
      </c>
    </row>
    <row r="940" spans="1:2" x14ac:dyDescent="0.3">
      <c r="A940" t="s">
        <v>274</v>
      </c>
      <c r="B940" t="s">
        <v>275</v>
      </c>
    </row>
    <row r="941" spans="1:2" x14ac:dyDescent="0.3">
      <c r="A941" t="s">
        <v>186</v>
      </c>
      <c r="B941" t="s">
        <v>187</v>
      </c>
    </row>
    <row r="942" spans="1:2" x14ac:dyDescent="0.3">
      <c r="A942" t="s">
        <v>343</v>
      </c>
      <c r="B942" t="s">
        <v>344</v>
      </c>
    </row>
    <row r="943" spans="1:2" x14ac:dyDescent="0.3">
      <c r="A943" t="s">
        <v>2178</v>
      </c>
      <c r="B943" t="s">
        <v>2179</v>
      </c>
    </row>
    <row r="944" spans="1:2" x14ac:dyDescent="0.3">
      <c r="A944" t="s">
        <v>375</v>
      </c>
      <c r="B944" t="s">
        <v>376</v>
      </c>
    </row>
    <row r="945" spans="1:2" x14ac:dyDescent="0.3">
      <c r="A945" t="s">
        <v>347</v>
      </c>
      <c r="B945" t="s">
        <v>348</v>
      </c>
    </row>
    <row r="946" spans="1:2" x14ac:dyDescent="0.3">
      <c r="A946" t="s">
        <v>964</v>
      </c>
      <c r="B946" t="s">
        <v>965</v>
      </c>
    </row>
    <row r="947" spans="1:2" x14ac:dyDescent="0.3">
      <c r="A947" t="s">
        <v>970</v>
      </c>
      <c r="B947" t="s">
        <v>971</v>
      </c>
    </row>
    <row r="948" spans="1:2" x14ac:dyDescent="0.3">
      <c r="A948" t="s">
        <v>498</v>
      </c>
      <c r="B948" t="s">
        <v>499</v>
      </c>
    </row>
    <row r="949" spans="1:2" x14ac:dyDescent="0.3">
      <c r="A949" t="s">
        <v>1648</v>
      </c>
      <c r="B949" t="s">
        <v>1649</v>
      </c>
    </row>
    <row r="950" spans="1:2" x14ac:dyDescent="0.3">
      <c r="A950" t="s">
        <v>1656</v>
      </c>
      <c r="B950" t="s">
        <v>1657</v>
      </c>
    </row>
    <row r="951" spans="1:2" x14ac:dyDescent="0.3">
      <c r="A951" t="s">
        <v>1034</v>
      </c>
      <c r="B951" t="s">
        <v>1035</v>
      </c>
    </row>
    <row r="952" spans="1:2" x14ac:dyDescent="0.3">
      <c r="A952" t="s">
        <v>38</v>
      </c>
      <c r="B952" t="s">
        <v>39</v>
      </c>
    </row>
    <row r="953" spans="1:2" x14ac:dyDescent="0.3">
      <c r="A953" t="s">
        <v>1529</v>
      </c>
      <c r="B953" t="s">
        <v>1530</v>
      </c>
    </row>
    <row r="954" spans="1:2" x14ac:dyDescent="0.3">
      <c r="A954" t="s">
        <v>1103</v>
      </c>
      <c r="B954" t="s">
        <v>1104</v>
      </c>
    </row>
    <row r="955" spans="1:2" x14ac:dyDescent="0.3">
      <c r="A955" t="s">
        <v>1107</v>
      </c>
      <c r="B955" t="s">
        <v>1104</v>
      </c>
    </row>
    <row r="956" spans="1:2" x14ac:dyDescent="0.3">
      <c r="A956" t="s">
        <v>620</v>
      </c>
      <c r="B956" t="s">
        <v>621</v>
      </c>
    </row>
    <row r="957" spans="1:2" x14ac:dyDescent="0.3">
      <c r="A957" t="s">
        <v>86</v>
      </c>
      <c r="B957" t="s">
        <v>87</v>
      </c>
    </row>
    <row r="958" spans="1:2" x14ac:dyDescent="0.3">
      <c r="A958" t="s">
        <v>76</v>
      </c>
      <c r="B958" t="s">
        <v>77</v>
      </c>
    </row>
    <row r="959" spans="1:2" x14ac:dyDescent="0.3">
      <c r="A959" t="s">
        <v>415</v>
      </c>
      <c r="B959" t="s">
        <v>416</v>
      </c>
    </row>
    <row r="960" spans="1:2" x14ac:dyDescent="0.3">
      <c r="A960" t="s">
        <v>116</v>
      </c>
      <c r="B960" t="s">
        <v>117</v>
      </c>
    </row>
    <row r="961" spans="1:2" x14ac:dyDescent="0.3">
      <c r="A961" t="s">
        <v>114</v>
      </c>
      <c r="B961" t="s">
        <v>115</v>
      </c>
    </row>
    <row r="962" spans="1:2" x14ac:dyDescent="0.3">
      <c r="A962" t="s">
        <v>44</v>
      </c>
      <c r="B962" t="s">
        <v>45</v>
      </c>
    </row>
    <row r="963" spans="1:2" x14ac:dyDescent="0.3">
      <c r="A963" t="s">
        <v>555</v>
      </c>
      <c r="B963" t="s">
        <v>556</v>
      </c>
    </row>
    <row r="964" spans="1:2" x14ac:dyDescent="0.3">
      <c r="A964" t="s">
        <v>723</v>
      </c>
      <c r="B964" t="s">
        <v>724</v>
      </c>
    </row>
    <row r="965" spans="1:2" x14ac:dyDescent="0.3">
      <c r="A965" t="s">
        <v>88</v>
      </c>
      <c r="B965" t="s">
        <v>89</v>
      </c>
    </row>
    <row r="966" spans="1:2" x14ac:dyDescent="0.3">
      <c r="A966" t="s">
        <v>851</v>
      </c>
      <c r="B966" t="s">
        <v>852</v>
      </c>
    </row>
    <row r="967" spans="1:2" x14ac:dyDescent="0.3">
      <c r="A967" t="s">
        <v>1650</v>
      </c>
      <c r="B967" t="s">
        <v>1651</v>
      </c>
    </row>
    <row r="968" spans="1:2" x14ac:dyDescent="0.3">
      <c r="A968" t="s">
        <v>1658</v>
      </c>
      <c r="B968" t="s">
        <v>1659</v>
      </c>
    </row>
    <row r="969" spans="1:2" x14ac:dyDescent="0.3">
      <c r="A969" t="s">
        <v>154</v>
      </c>
      <c r="B969" t="s">
        <v>155</v>
      </c>
    </row>
    <row r="970" spans="1:2" x14ac:dyDescent="0.3">
      <c r="A970" t="s">
        <v>152</v>
      </c>
      <c r="B970" t="s">
        <v>153</v>
      </c>
    </row>
    <row r="971" spans="1:2" x14ac:dyDescent="0.3">
      <c r="A971" t="s">
        <v>1678</v>
      </c>
      <c r="B971" t="s">
        <v>1679</v>
      </c>
    </row>
    <row r="972" spans="1:2" x14ac:dyDescent="0.3">
      <c r="A972" t="s">
        <v>719</v>
      </c>
      <c r="B972" t="s">
        <v>720</v>
      </c>
    </row>
    <row r="973" spans="1:2" x14ac:dyDescent="0.3">
      <c r="A973" t="s">
        <v>749</v>
      </c>
      <c r="B973" t="s">
        <v>3843</v>
      </c>
    </row>
    <row r="974" spans="1:2" x14ac:dyDescent="0.3">
      <c r="A974" t="s">
        <v>747</v>
      </c>
      <c r="B974" t="s">
        <v>748</v>
      </c>
    </row>
    <row r="975" spans="1:2" x14ac:dyDescent="0.3">
      <c r="A975" t="s">
        <v>230</v>
      </c>
      <c r="B975" t="s">
        <v>231</v>
      </c>
    </row>
    <row r="976" spans="1:2" x14ac:dyDescent="0.3">
      <c r="A976" t="s">
        <v>600</v>
      </c>
      <c r="B976" t="s">
        <v>601</v>
      </c>
    </row>
    <row r="977" spans="1:2" x14ac:dyDescent="0.3">
      <c r="A977" t="s">
        <v>1065</v>
      </c>
      <c r="B977" t="s">
        <v>1066</v>
      </c>
    </row>
    <row r="978" spans="1:2" x14ac:dyDescent="0.3">
      <c r="A978" t="s">
        <v>1071</v>
      </c>
      <c r="B978" t="s">
        <v>945</v>
      </c>
    </row>
    <row r="979" spans="1:2" x14ac:dyDescent="0.3">
      <c r="A979" t="s">
        <v>1088</v>
      </c>
      <c r="B979" t="s">
        <v>1089</v>
      </c>
    </row>
    <row r="980" spans="1:2" x14ac:dyDescent="0.3">
      <c r="A980" t="s">
        <v>1069</v>
      </c>
      <c r="B980" t="s">
        <v>1070</v>
      </c>
    </row>
    <row r="981" spans="1:2" x14ac:dyDescent="0.3">
      <c r="A981" t="s">
        <v>1076</v>
      </c>
      <c r="B981" t="s">
        <v>1077</v>
      </c>
    </row>
    <row r="982" spans="1:2" x14ac:dyDescent="0.3">
      <c r="A982" t="s">
        <v>1090</v>
      </c>
      <c r="B982" t="s">
        <v>241</v>
      </c>
    </row>
    <row r="983" spans="1:2" x14ac:dyDescent="0.3">
      <c r="A983" t="s">
        <v>1092</v>
      </c>
      <c r="B983" t="s">
        <v>225</v>
      </c>
    </row>
    <row r="984" spans="1:2" x14ac:dyDescent="0.3">
      <c r="A984" t="s">
        <v>1093</v>
      </c>
      <c r="B984" t="s">
        <v>1094</v>
      </c>
    </row>
    <row r="985" spans="1:2" x14ac:dyDescent="0.3">
      <c r="A985" t="s">
        <v>1080</v>
      </c>
      <c r="B985" t="s">
        <v>1081</v>
      </c>
    </row>
    <row r="986" spans="1:2" x14ac:dyDescent="0.3">
      <c r="A986" t="s">
        <v>1072</v>
      </c>
      <c r="B986" t="s">
        <v>1073</v>
      </c>
    </row>
    <row r="987" spans="1:2" x14ac:dyDescent="0.3">
      <c r="A987" t="s">
        <v>1086</v>
      </c>
      <c r="B987" t="s">
        <v>1087</v>
      </c>
    </row>
    <row r="988" spans="1:2" x14ac:dyDescent="0.3">
      <c r="A988" t="s">
        <v>1082</v>
      </c>
      <c r="B988" t="s">
        <v>1083</v>
      </c>
    </row>
    <row r="989" spans="1:2" x14ac:dyDescent="0.3">
      <c r="A989" t="s">
        <v>1078</v>
      </c>
      <c r="B989" t="s">
        <v>1079</v>
      </c>
    </row>
    <row r="990" spans="1:2" x14ac:dyDescent="0.3">
      <c r="A990" t="s">
        <v>1091</v>
      </c>
      <c r="B990" t="s">
        <v>211</v>
      </c>
    </row>
    <row r="991" spans="1:2" x14ac:dyDescent="0.3">
      <c r="A991" t="s">
        <v>1067</v>
      </c>
      <c r="B991" t="s">
        <v>1068</v>
      </c>
    </row>
    <row r="992" spans="1:2" x14ac:dyDescent="0.3">
      <c r="A992" t="s">
        <v>1074</v>
      </c>
      <c r="B992" t="s">
        <v>1075</v>
      </c>
    </row>
    <row r="993" spans="1:2" x14ac:dyDescent="0.3">
      <c r="A993" t="s">
        <v>1084</v>
      </c>
      <c r="B993" t="s">
        <v>1085</v>
      </c>
    </row>
    <row r="994" spans="1:2" x14ac:dyDescent="0.3">
      <c r="A994" t="s">
        <v>82</v>
      </c>
      <c r="B994" t="s">
        <v>83</v>
      </c>
    </row>
    <row r="995" spans="1:2" x14ac:dyDescent="0.3">
      <c r="A995" t="s">
        <v>481</v>
      </c>
      <c r="B995" t="s">
        <v>482</v>
      </c>
    </row>
    <row r="996" spans="1:2" x14ac:dyDescent="0.3">
      <c r="A996" t="s">
        <v>1435</v>
      </c>
      <c r="B996" t="s">
        <v>39</v>
      </c>
    </row>
    <row r="997" spans="1:2" x14ac:dyDescent="0.3">
      <c r="A997" t="s">
        <v>425</v>
      </c>
      <c r="B997" t="s">
        <v>426</v>
      </c>
    </row>
    <row r="998" spans="1:2" x14ac:dyDescent="0.3">
      <c r="A998" t="s">
        <v>843</v>
      </c>
      <c r="B998" t="s">
        <v>844</v>
      </c>
    </row>
    <row r="999" spans="1:2" x14ac:dyDescent="0.3">
      <c r="A999" t="s">
        <v>612</v>
      </c>
      <c r="B999" t="s">
        <v>613</v>
      </c>
    </row>
    <row r="1000" spans="1:2" x14ac:dyDescent="0.3">
      <c r="A1000" t="s">
        <v>635</v>
      </c>
      <c r="B1000" t="s">
        <v>636</v>
      </c>
    </row>
    <row r="1001" spans="1:2" x14ac:dyDescent="0.3">
      <c r="A1001" t="s">
        <v>379</v>
      </c>
      <c r="B1001" t="s">
        <v>380</v>
      </c>
    </row>
    <row r="1002" spans="1:2" x14ac:dyDescent="0.3">
      <c r="A1002" t="s">
        <v>859</v>
      </c>
      <c r="B1002" t="s">
        <v>860</v>
      </c>
    </row>
    <row r="1003" spans="1:2" x14ac:dyDescent="0.3">
      <c r="A1003" t="s">
        <v>701</v>
      </c>
      <c r="B1003" t="s">
        <v>702</v>
      </c>
    </row>
    <row r="1004" spans="1:2" x14ac:dyDescent="0.3">
      <c r="A1004" t="s">
        <v>699</v>
      </c>
      <c r="B1004" t="s">
        <v>700</v>
      </c>
    </row>
    <row r="1005" spans="1:2" x14ac:dyDescent="0.3">
      <c r="A1005" t="s">
        <v>697</v>
      </c>
      <c r="B1005" t="s">
        <v>698</v>
      </c>
    </row>
    <row r="1006" spans="1:2" x14ac:dyDescent="0.3">
      <c r="A1006" t="s">
        <v>696</v>
      </c>
      <c r="B1006" t="s">
        <v>671</v>
      </c>
    </row>
    <row r="1007" spans="1:2" x14ac:dyDescent="0.3">
      <c r="A1007" t="s">
        <v>690</v>
      </c>
      <c r="B1007" t="s">
        <v>691</v>
      </c>
    </row>
    <row r="1008" spans="1:2" x14ac:dyDescent="0.3">
      <c r="A1008" t="s">
        <v>707</v>
      </c>
      <c r="B1008" t="s">
        <v>708</v>
      </c>
    </row>
    <row r="1009" spans="1:2" x14ac:dyDescent="0.3">
      <c r="A1009" t="s">
        <v>692</v>
      </c>
      <c r="B1009" t="s">
        <v>693</v>
      </c>
    </row>
    <row r="1010" spans="1:2" x14ac:dyDescent="0.3">
      <c r="A1010" t="s">
        <v>705</v>
      </c>
      <c r="B1010" t="s">
        <v>706</v>
      </c>
    </row>
    <row r="1011" spans="1:2" x14ac:dyDescent="0.3">
      <c r="A1011" t="s">
        <v>703</v>
      </c>
      <c r="B1011" t="s">
        <v>704</v>
      </c>
    </row>
    <row r="1012" spans="1:2" x14ac:dyDescent="0.3">
      <c r="A1012" t="s">
        <v>694</v>
      </c>
      <c r="B1012" t="s">
        <v>695</v>
      </c>
    </row>
    <row r="1013" spans="1:2" x14ac:dyDescent="0.3">
      <c r="A1013" t="s">
        <v>686</v>
      </c>
      <c r="B1013" t="s">
        <v>687</v>
      </c>
    </row>
    <row r="1014" spans="1:2" x14ac:dyDescent="0.3">
      <c r="A1014" t="s">
        <v>377</v>
      </c>
      <c r="B1014" t="s">
        <v>378</v>
      </c>
    </row>
    <row r="1015" spans="1:2" x14ac:dyDescent="0.3">
      <c r="A1015" t="s">
        <v>688</v>
      </c>
      <c r="B1015" t="s">
        <v>689</v>
      </c>
    </row>
    <row r="1016" spans="1:2" x14ac:dyDescent="0.3">
      <c r="A1016" t="s">
        <v>845</v>
      </c>
      <c r="B1016" t="s">
        <v>846</v>
      </c>
    </row>
    <row r="1017" spans="1:2" x14ac:dyDescent="0.3">
      <c r="A1017" t="s">
        <v>381</v>
      </c>
      <c r="B1017" t="s">
        <v>382</v>
      </c>
    </row>
    <row r="1018" spans="1:2" x14ac:dyDescent="0.3">
      <c r="A1018" t="s">
        <v>3834</v>
      </c>
      <c r="B1018" t="s">
        <v>3835</v>
      </c>
    </row>
    <row r="1019" spans="1:2" x14ac:dyDescent="0.3">
      <c r="A1019" t="s">
        <v>553</v>
      </c>
      <c r="B1019" t="s">
        <v>554</v>
      </c>
    </row>
    <row r="1020" spans="1:2" x14ac:dyDescent="0.3">
      <c r="A1020" t="s">
        <v>413</v>
      </c>
      <c r="B1020" t="s">
        <v>414</v>
      </c>
    </row>
    <row r="1021" spans="1:2" x14ac:dyDescent="0.3">
      <c r="A1021" t="s">
        <v>1433</v>
      </c>
      <c r="B1021" t="s">
        <v>1434</v>
      </c>
    </row>
    <row r="1022" spans="1:2" x14ac:dyDescent="0.3">
      <c r="A1022" t="s">
        <v>8</v>
      </c>
      <c r="B1022" t="s">
        <v>9</v>
      </c>
    </row>
    <row r="1023" spans="1:2" x14ac:dyDescent="0.3">
      <c r="A1023" t="s">
        <v>930</v>
      </c>
      <c r="B1023" t="s">
        <v>931</v>
      </c>
    </row>
    <row r="1024" spans="1:2" x14ac:dyDescent="0.3">
      <c r="A1024" t="s">
        <v>942</v>
      </c>
      <c r="B1024" t="s">
        <v>943</v>
      </c>
    </row>
    <row r="1025" spans="1:2" x14ac:dyDescent="0.3">
      <c r="A1025" t="s">
        <v>944</v>
      </c>
      <c r="B1025" t="s">
        <v>945</v>
      </c>
    </row>
    <row r="1026" spans="1:2" x14ac:dyDescent="0.3">
      <c r="A1026" t="s">
        <v>950</v>
      </c>
      <c r="B1026" t="s">
        <v>951</v>
      </c>
    </row>
    <row r="1027" spans="1:2" x14ac:dyDescent="0.3">
      <c r="A1027" t="s">
        <v>952</v>
      </c>
      <c r="B1027" t="s">
        <v>953</v>
      </c>
    </row>
    <row r="1028" spans="1:2" x14ac:dyDescent="0.3">
      <c r="A1028" t="s">
        <v>946</v>
      </c>
      <c r="B1028" t="s">
        <v>947</v>
      </c>
    </row>
    <row r="1029" spans="1:2" x14ac:dyDescent="0.3">
      <c r="A1029" t="s">
        <v>948</v>
      </c>
      <c r="B1029" t="s">
        <v>949</v>
      </c>
    </row>
    <row r="1030" spans="1:2" x14ac:dyDescent="0.3">
      <c r="A1030" t="s">
        <v>954</v>
      </c>
      <c r="B1030" t="s">
        <v>955</v>
      </c>
    </row>
    <row r="1031" spans="1:2" x14ac:dyDescent="0.3">
      <c r="A1031" t="s">
        <v>433</v>
      </c>
      <c r="B1031" t="s">
        <v>434</v>
      </c>
    </row>
    <row r="1032" spans="1:2" x14ac:dyDescent="0.3">
      <c r="A1032" t="s">
        <v>936</v>
      </c>
      <c r="B1032" t="s">
        <v>937</v>
      </c>
    </row>
    <row r="1033" spans="1:2" x14ac:dyDescent="0.3">
      <c r="A1033" t="s">
        <v>938</v>
      </c>
      <c r="B1033" t="s">
        <v>939</v>
      </c>
    </row>
    <row r="1034" spans="1:2" x14ac:dyDescent="0.3">
      <c r="A1034" t="s">
        <v>934</v>
      </c>
      <c r="B1034" t="s">
        <v>935</v>
      </c>
    </row>
    <row r="1035" spans="1:2" x14ac:dyDescent="0.3">
      <c r="A1035" t="s">
        <v>932</v>
      </c>
      <c r="B1035" t="s">
        <v>933</v>
      </c>
    </row>
    <row r="1036" spans="1:2" x14ac:dyDescent="0.3">
      <c r="A1036" t="s">
        <v>210</v>
      </c>
      <c r="B1036" t="s">
        <v>211</v>
      </c>
    </row>
    <row r="1037" spans="1:2" x14ac:dyDescent="0.3">
      <c r="A1037" t="s">
        <v>777</v>
      </c>
      <c r="B1037" t="s">
        <v>778</v>
      </c>
    </row>
    <row r="1038" spans="1:2" x14ac:dyDescent="0.3">
      <c r="A1038" t="s">
        <v>817</v>
      </c>
      <c r="B1038" t="s">
        <v>818</v>
      </c>
    </row>
    <row r="1039" spans="1:2" x14ac:dyDescent="0.3">
      <c r="A1039" t="s">
        <v>983</v>
      </c>
      <c r="B1039" t="s">
        <v>984</v>
      </c>
    </row>
    <row r="1040" spans="1:2" x14ac:dyDescent="0.3">
      <c r="A1040" t="s">
        <v>985</v>
      </c>
      <c r="B1040" t="s">
        <v>986</v>
      </c>
    </row>
    <row r="1041" spans="1:2" x14ac:dyDescent="0.3">
      <c r="A1041" t="s">
        <v>987</v>
      </c>
      <c r="B1041" t="s">
        <v>988</v>
      </c>
    </row>
    <row r="1042" spans="1:2" x14ac:dyDescent="0.3">
      <c r="A1042" t="s">
        <v>807</v>
      </c>
      <c r="B1042" t="s">
        <v>808</v>
      </c>
    </row>
    <row r="1043" spans="1:2" x14ac:dyDescent="0.3">
      <c r="A1043" t="s">
        <v>815</v>
      </c>
      <c r="B1043" t="s">
        <v>816</v>
      </c>
    </row>
    <row r="1044" spans="1:2" x14ac:dyDescent="0.3">
      <c r="A1044" t="s">
        <v>188</v>
      </c>
      <c r="B1044" t="s">
        <v>189</v>
      </c>
    </row>
    <row r="1045" spans="1:2" x14ac:dyDescent="0.3">
      <c r="A1045" t="s">
        <v>799</v>
      </c>
      <c r="B1045" t="s">
        <v>800</v>
      </c>
    </row>
    <row r="1046" spans="1:2" x14ac:dyDescent="0.3">
      <c r="A1046" t="s">
        <v>196</v>
      </c>
      <c r="B1046" t="s">
        <v>197</v>
      </c>
    </row>
    <row r="1047" spans="1:2" x14ac:dyDescent="0.3">
      <c r="A1047" t="s">
        <v>940</v>
      </c>
      <c r="B1047" t="s">
        <v>941</v>
      </c>
    </row>
    <row r="1048" spans="1:2" x14ac:dyDescent="0.3">
      <c r="A1048" t="s">
        <v>339</v>
      </c>
      <c r="B1048" t="s">
        <v>340</v>
      </c>
    </row>
    <row r="1049" spans="1:2" x14ac:dyDescent="0.3">
      <c r="A1049" t="s">
        <v>120</v>
      </c>
      <c r="B1049" t="s">
        <v>121</v>
      </c>
    </row>
    <row r="1050" spans="1:2" x14ac:dyDescent="0.3">
      <c r="A1050" t="s">
        <v>118</v>
      </c>
      <c r="B1050" t="s">
        <v>119</v>
      </c>
    </row>
    <row r="1051" spans="1:2" x14ac:dyDescent="0.3">
      <c r="A1051" t="s">
        <v>26</v>
      </c>
      <c r="B1051" t="s">
        <v>27</v>
      </c>
    </row>
    <row r="1052" spans="1:2" x14ac:dyDescent="0.3">
      <c r="A1052" t="s">
        <v>18</v>
      </c>
      <c r="B1052" t="s">
        <v>19</v>
      </c>
    </row>
    <row r="1053" spans="1:2" x14ac:dyDescent="0.3">
      <c r="A1053" t="s">
        <v>829</v>
      </c>
      <c r="B1053" t="s">
        <v>830</v>
      </c>
    </row>
    <row r="1054" spans="1:2" x14ac:dyDescent="0.3">
      <c r="A1054" t="s">
        <v>827</v>
      </c>
      <c r="B1054" t="s">
        <v>828</v>
      </c>
    </row>
    <row r="1055" spans="1:2" x14ac:dyDescent="0.3">
      <c r="A1055" t="s">
        <v>1032</v>
      </c>
      <c r="B1055" t="s">
        <v>1033</v>
      </c>
    </row>
    <row r="1056" spans="1:2" x14ac:dyDescent="0.3">
      <c r="A1056" t="s">
        <v>1136</v>
      </c>
      <c r="B1056" t="s">
        <v>598</v>
      </c>
    </row>
    <row r="1057" spans="1:2" x14ac:dyDescent="0.3">
      <c r="A1057" t="s">
        <v>1166</v>
      </c>
      <c r="B1057" t="s">
        <v>1167</v>
      </c>
    </row>
    <row r="1058" spans="1:2" x14ac:dyDescent="0.3">
      <c r="A1058" t="s">
        <v>1168</v>
      </c>
      <c r="B1058" t="s">
        <v>1169</v>
      </c>
    </row>
    <row r="1059" spans="1:2" x14ac:dyDescent="0.3">
      <c r="A1059" t="s">
        <v>1319</v>
      </c>
      <c r="B1059" t="s">
        <v>1320</v>
      </c>
    </row>
    <row r="1060" spans="1:2" x14ac:dyDescent="0.3">
      <c r="A1060" t="s">
        <v>1326</v>
      </c>
      <c r="B1060" t="s">
        <v>1327</v>
      </c>
    </row>
    <row r="1061" spans="1:2" x14ac:dyDescent="0.3">
      <c r="A1061" t="s">
        <v>1147</v>
      </c>
      <c r="B1061" t="s">
        <v>1148</v>
      </c>
    </row>
    <row r="1062" spans="1:2" x14ac:dyDescent="0.3">
      <c r="A1062" t="s">
        <v>1162</v>
      </c>
      <c r="B1062" t="s">
        <v>1163</v>
      </c>
    </row>
    <row r="1063" spans="1:2" x14ac:dyDescent="0.3">
      <c r="A1063" t="s">
        <v>1186</v>
      </c>
      <c r="B1063" t="s">
        <v>1187</v>
      </c>
    </row>
    <row r="1064" spans="1:2" x14ac:dyDescent="0.3">
      <c r="A1064" t="s">
        <v>1297</v>
      </c>
      <c r="B1064" t="s">
        <v>1298</v>
      </c>
    </row>
    <row r="1065" spans="1:2" x14ac:dyDescent="0.3">
      <c r="A1065" t="s">
        <v>1227</v>
      </c>
      <c r="B1065" t="s">
        <v>1228</v>
      </c>
    </row>
    <row r="1066" spans="1:2" x14ac:dyDescent="0.3">
      <c r="A1066" t="s">
        <v>1196</v>
      </c>
      <c r="B1066" t="s">
        <v>1197</v>
      </c>
    </row>
    <row r="1067" spans="1:2" x14ac:dyDescent="0.3">
      <c r="A1067" t="s">
        <v>1342</v>
      </c>
      <c r="B1067" t="s">
        <v>1343</v>
      </c>
    </row>
    <row r="1068" spans="1:2" x14ac:dyDescent="0.3">
      <c r="A1068" t="s">
        <v>1351</v>
      </c>
      <c r="B1068" t="s">
        <v>1352</v>
      </c>
    </row>
    <row r="1069" spans="1:2" x14ac:dyDescent="0.3">
      <c r="A1069" t="s">
        <v>1332</v>
      </c>
      <c r="B1069" t="s">
        <v>1333</v>
      </c>
    </row>
    <row r="1070" spans="1:2" x14ac:dyDescent="0.3">
      <c r="A1070" t="s">
        <v>1182</v>
      </c>
      <c r="B1070" t="s">
        <v>1183</v>
      </c>
    </row>
    <row r="1071" spans="1:2" x14ac:dyDescent="0.3">
      <c r="A1071" t="s">
        <v>1229</v>
      </c>
      <c r="B1071" t="s">
        <v>1230</v>
      </c>
    </row>
    <row r="1072" spans="1:2" x14ac:dyDescent="0.3">
      <c r="A1072" t="s">
        <v>1299</v>
      </c>
      <c r="B1072" t="s">
        <v>1300</v>
      </c>
    </row>
    <row r="1073" spans="1:2" x14ac:dyDescent="0.3">
      <c r="A1073" t="s">
        <v>1290</v>
      </c>
      <c r="B1073" t="s">
        <v>1291</v>
      </c>
    </row>
    <row r="1074" spans="1:2" x14ac:dyDescent="0.3">
      <c r="A1074" t="s">
        <v>1273</v>
      </c>
      <c r="B1074" t="s">
        <v>1274</v>
      </c>
    </row>
    <row r="1075" spans="1:2" x14ac:dyDescent="0.3">
      <c r="A1075" t="s">
        <v>1164</v>
      </c>
      <c r="B1075" t="s">
        <v>1165</v>
      </c>
    </row>
    <row r="1076" spans="1:2" x14ac:dyDescent="0.3">
      <c r="A1076" t="s">
        <v>1217</v>
      </c>
      <c r="B1076" t="s">
        <v>1218</v>
      </c>
    </row>
    <row r="1077" spans="1:2" x14ac:dyDescent="0.3">
      <c r="A1077" t="s">
        <v>1151</v>
      </c>
      <c r="B1077" t="s">
        <v>1152</v>
      </c>
    </row>
    <row r="1078" spans="1:2" x14ac:dyDescent="0.3">
      <c r="A1078" t="s">
        <v>1212</v>
      </c>
      <c r="B1078" t="s">
        <v>1213</v>
      </c>
    </row>
    <row r="1079" spans="1:2" x14ac:dyDescent="0.3">
      <c r="A1079" t="s">
        <v>1223</v>
      </c>
      <c r="B1079" t="s">
        <v>1224</v>
      </c>
    </row>
    <row r="1080" spans="1:2" x14ac:dyDescent="0.3">
      <c r="A1080" t="s">
        <v>1277</v>
      </c>
      <c r="B1080" t="s">
        <v>1278</v>
      </c>
    </row>
    <row r="1081" spans="1:2" x14ac:dyDescent="0.3">
      <c r="A1081" t="s">
        <v>1313</v>
      </c>
      <c r="B1081" t="s">
        <v>1314</v>
      </c>
    </row>
    <row r="1082" spans="1:2" x14ac:dyDescent="0.3">
      <c r="A1082" t="s">
        <v>1309</v>
      </c>
      <c r="B1082" t="s">
        <v>1310</v>
      </c>
    </row>
    <row r="1083" spans="1:2" x14ac:dyDescent="0.3">
      <c r="A1083" t="s">
        <v>1311</v>
      </c>
      <c r="B1083" t="s">
        <v>1312</v>
      </c>
    </row>
    <row r="1084" spans="1:2" x14ac:dyDescent="0.3">
      <c r="A1084" t="s">
        <v>1307</v>
      </c>
      <c r="B1084" t="s">
        <v>1308</v>
      </c>
    </row>
    <row r="1085" spans="1:2" x14ac:dyDescent="0.3">
      <c r="A1085" t="s">
        <v>1192</v>
      </c>
      <c r="B1085" t="s">
        <v>1193</v>
      </c>
    </row>
    <row r="1086" spans="1:2" x14ac:dyDescent="0.3">
      <c r="A1086" t="s">
        <v>1190</v>
      </c>
      <c r="B1086" t="s">
        <v>1191</v>
      </c>
    </row>
    <row r="1087" spans="1:2" x14ac:dyDescent="0.3">
      <c r="A1087" t="s">
        <v>1221</v>
      </c>
      <c r="B1087" t="s">
        <v>1222</v>
      </c>
    </row>
    <row r="1088" spans="1:2" x14ac:dyDescent="0.3">
      <c r="A1088" t="s">
        <v>1188</v>
      </c>
      <c r="B1088" t="s">
        <v>1189</v>
      </c>
    </row>
    <row r="1089" spans="1:2" x14ac:dyDescent="0.3">
      <c r="A1089" t="s">
        <v>1279</v>
      </c>
      <c r="B1089" t="s">
        <v>1280</v>
      </c>
    </row>
    <row r="1090" spans="1:2" x14ac:dyDescent="0.3">
      <c r="A1090" t="s">
        <v>1214</v>
      </c>
      <c r="B1090" t="s">
        <v>1215</v>
      </c>
    </row>
    <row r="1091" spans="1:2" x14ac:dyDescent="0.3">
      <c r="A1091" t="s">
        <v>2196</v>
      </c>
      <c r="B1091" t="s">
        <v>2197</v>
      </c>
    </row>
    <row r="1092" spans="1:2" x14ac:dyDescent="0.3">
      <c r="A1092" t="s">
        <v>1155</v>
      </c>
      <c r="B1092" t="s">
        <v>977</v>
      </c>
    </row>
    <row r="1093" spans="1:2" x14ac:dyDescent="0.3">
      <c r="A1093" t="s">
        <v>1156</v>
      </c>
      <c r="B1093" t="s">
        <v>1157</v>
      </c>
    </row>
    <row r="1094" spans="1:2" x14ac:dyDescent="0.3">
      <c r="A1094" t="s">
        <v>1160</v>
      </c>
      <c r="B1094" t="s">
        <v>1161</v>
      </c>
    </row>
    <row r="1095" spans="1:2" x14ac:dyDescent="0.3">
      <c r="A1095" t="s">
        <v>1158</v>
      </c>
      <c r="B1095" t="s">
        <v>1159</v>
      </c>
    </row>
    <row r="1096" spans="1:2" x14ac:dyDescent="0.3">
      <c r="A1096" t="s">
        <v>2198</v>
      </c>
      <c r="B1096" t="s">
        <v>1626</v>
      </c>
    </row>
    <row r="1097" spans="1:2" x14ac:dyDescent="0.3">
      <c r="A1097" t="s">
        <v>1296</v>
      </c>
      <c r="B1097" t="s">
        <v>566</v>
      </c>
    </row>
    <row r="1098" spans="1:2" x14ac:dyDescent="0.3">
      <c r="A1098" t="s">
        <v>1225</v>
      </c>
      <c r="B1098" t="s">
        <v>1226</v>
      </c>
    </row>
    <row r="1099" spans="1:2" x14ac:dyDescent="0.3">
      <c r="A1099" t="s">
        <v>1344</v>
      </c>
      <c r="B1099" t="s">
        <v>1345</v>
      </c>
    </row>
    <row r="1100" spans="1:2" x14ac:dyDescent="0.3">
      <c r="A1100" t="s">
        <v>2194</v>
      </c>
      <c r="B1100" t="s">
        <v>2195</v>
      </c>
    </row>
    <row r="1101" spans="1:2" x14ac:dyDescent="0.3">
      <c r="A1101" t="s">
        <v>1281</v>
      </c>
      <c r="B1101" t="s">
        <v>1282</v>
      </c>
    </row>
    <row r="1102" spans="1:2" x14ac:dyDescent="0.3">
      <c r="A1102" t="s">
        <v>1330</v>
      </c>
      <c r="B1102" t="s">
        <v>1331</v>
      </c>
    </row>
    <row r="1103" spans="1:2" x14ac:dyDescent="0.3">
      <c r="A1103" t="s">
        <v>1336</v>
      </c>
      <c r="B1103" t="s">
        <v>1337</v>
      </c>
    </row>
    <row r="1104" spans="1:2" x14ac:dyDescent="0.3">
      <c r="A1104" t="s">
        <v>1231</v>
      </c>
      <c r="B1104" t="s">
        <v>1232</v>
      </c>
    </row>
    <row r="1105" spans="1:2" x14ac:dyDescent="0.3">
      <c r="A1105" t="s">
        <v>1233</v>
      </c>
      <c r="B1105" t="s">
        <v>1234</v>
      </c>
    </row>
    <row r="1106" spans="1:2" x14ac:dyDescent="0.3">
      <c r="A1106" t="s">
        <v>1251</v>
      </c>
      <c r="B1106" t="s">
        <v>1252</v>
      </c>
    </row>
    <row r="1107" spans="1:2" x14ac:dyDescent="0.3">
      <c r="A1107" t="s">
        <v>1253</v>
      </c>
      <c r="B1107" t="s">
        <v>1254</v>
      </c>
    </row>
    <row r="1108" spans="1:2" x14ac:dyDescent="0.3">
      <c r="A1108" t="s">
        <v>1255</v>
      </c>
      <c r="B1108" t="s">
        <v>1256</v>
      </c>
    </row>
    <row r="1109" spans="1:2" x14ac:dyDescent="0.3">
      <c r="A1109" t="s">
        <v>1257</v>
      </c>
      <c r="B1109" t="s">
        <v>1258</v>
      </c>
    </row>
    <row r="1110" spans="1:2" x14ac:dyDescent="0.3">
      <c r="A1110" t="s">
        <v>1259</v>
      </c>
      <c r="B1110" t="s">
        <v>1260</v>
      </c>
    </row>
    <row r="1111" spans="1:2" x14ac:dyDescent="0.3">
      <c r="A1111" t="s">
        <v>1235</v>
      </c>
      <c r="B1111" t="s">
        <v>1236</v>
      </c>
    </row>
    <row r="1112" spans="1:2" x14ac:dyDescent="0.3">
      <c r="A1112" t="s">
        <v>1261</v>
      </c>
      <c r="B1112" t="s">
        <v>1262</v>
      </c>
    </row>
    <row r="1113" spans="1:2" x14ac:dyDescent="0.3">
      <c r="A1113" t="s">
        <v>1263</v>
      </c>
      <c r="B1113" t="s">
        <v>1264</v>
      </c>
    </row>
    <row r="1114" spans="1:2" x14ac:dyDescent="0.3">
      <c r="A1114" t="s">
        <v>1265</v>
      </c>
      <c r="B1114" t="s">
        <v>1266</v>
      </c>
    </row>
    <row r="1115" spans="1:2" x14ac:dyDescent="0.3">
      <c r="A1115" t="s">
        <v>1237</v>
      </c>
      <c r="B1115" t="s">
        <v>1238</v>
      </c>
    </row>
    <row r="1116" spans="1:2" x14ac:dyDescent="0.3">
      <c r="A1116" t="s">
        <v>1267</v>
      </c>
      <c r="B1116" t="s">
        <v>1268</v>
      </c>
    </row>
    <row r="1117" spans="1:2" x14ac:dyDescent="0.3">
      <c r="A1117" t="s">
        <v>1269</v>
      </c>
      <c r="B1117" t="s">
        <v>1270</v>
      </c>
    </row>
    <row r="1118" spans="1:2" x14ac:dyDescent="0.3">
      <c r="A1118" t="s">
        <v>1271</v>
      </c>
      <c r="B1118" t="s">
        <v>1272</v>
      </c>
    </row>
    <row r="1119" spans="1:2" x14ac:dyDescent="0.3">
      <c r="A1119" t="s">
        <v>1239</v>
      </c>
      <c r="B1119" t="s">
        <v>1240</v>
      </c>
    </row>
    <row r="1120" spans="1:2" x14ac:dyDescent="0.3">
      <c r="A1120" t="s">
        <v>1241</v>
      </c>
      <c r="B1120" t="s">
        <v>1242</v>
      </c>
    </row>
    <row r="1121" spans="1:2" x14ac:dyDescent="0.3">
      <c r="A1121" t="s">
        <v>1243</v>
      </c>
      <c r="B1121" t="s">
        <v>1244</v>
      </c>
    </row>
    <row r="1122" spans="1:2" x14ac:dyDescent="0.3">
      <c r="A1122" t="s">
        <v>1245</v>
      </c>
      <c r="B1122" t="s">
        <v>1246</v>
      </c>
    </row>
    <row r="1123" spans="1:2" x14ac:dyDescent="0.3">
      <c r="A1123" t="s">
        <v>1247</v>
      </c>
      <c r="B1123" t="s">
        <v>1248</v>
      </c>
    </row>
    <row r="1124" spans="1:2" x14ac:dyDescent="0.3">
      <c r="A1124" t="s">
        <v>1249</v>
      </c>
      <c r="B1124" t="s">
        <v>1250</v>
      </c>
    </row>
    <row r="1125" spans="1:2" x14ac:dyDescent="0.3">
      <c r="A1125" t="s">
        <v>1137</v>
      </c>
      <c r="B1125" t="s">
        <v>1138</v>
      </c>
    </row>
    <row r="1126" spans="1:2" x14ac:dyDescent="0.3">
      <c r="A1126" t="s">
        <v>1611</v>
      </c>
      <c r="B1126" t="s">
        <v>1612</v>
      </c>
    </row>
    <row r="1127" spans="1:2" x14ac:dyDescent="0.3">
      <c r="A1127" t="s">
        <v>1609</v>
      </c>
      <c r="B1127" t="s">
        <v>1610</v>
      </c>
    </row>
    <row r="1128" spans="1:2" x14ac:dyDescent="0.3">
      <c r="A1128" t="s">
        <v>1621</v>
      </c>
      <c r="B1128" t="s">
        <v>1622</v>
      </c>
    </row>
    <row r="1129" spans="1:2" x14ac:dyDescent="0.3">
      <c r="A1129" t="s">
        <v>1208</v>
      </c>
      <c r="B1129" t="s">
        <v>1209</v>
      </c>
    </row>
    <row r="1130" spans="1:2" x14ac:dyDescent="0.3">
      <c r="A1130" t="s">
        <v>1206</v>
      </c>
      <c r="B1130" t="s">
        <v>1207</v>
      </c>
    </row>
    <row r="1131" spans="1:2" x14ac:dyDescent="0.3">
      <c r="A1131" t="s">
        <v>1294</v>
      </c>
      <c r="B1131" t="s">
        <v>1295</v>
      </c>
    </row>
    <row r="1132" spans="1:2" x14ac:dyDescent="0.3">
      <c r="A1132" t="s">
        <v>1292</v>
      </c>
      <c r="B1132" t="s">
        <v>1293</v>
      </c>
    </row>
    <row r="1133" spans="1:2" x14ac:dyDescent="0.3">
      <c r="A1133" t="s">
        <v>1216</v>
      </c>
      <c r="B1133" t="s">
        <v>1087</v>
      </c>
    </row>
    <row r="1134" spans="1:2" x14ac:dyDescent="0.3">
      <c r="A1134" t="s">
        <v>1353</v>
      </c>
      <c r="B1134" t="s">
        <v>1354</v>
      </c>
    </row>
    <row r="1135" spans="1:2" x14ac:dyDescent="0.3">
      <c r="A1135" t="s">
        <v>1334</v>
      </c>
      <c r="B1135" t="s">
        <v>1335</v>
      </c>
    </row>
    <row r="1136" spans="1:2" x14ac:dyDescent="0.3">
      <c r="A1136" t="s">
        <v>1321</v>
      </c>
      <c r="B1136" t="s">
        <v>1179</v>
      </c>
    </row>
    <row r="1137" spans="1:2" x14ac:dyDescent="0.3">
      <c r="A1137" t="s">
        <v>1346</v>
      </c>
      <c r="B1137" t="s">
        <v>1300</v>
      </c>
    </row>
    <row r="1138" spans="1:2" x14ac:dyDescent="0.3">
      <c r="A1138" t="s">
        <v>1178</v>
      </c>
      <c r="B1138" t="s">
        <v>1179</v>
      </c>
    </row>
    <row r="1139" spans="1:2" x14ac:dyDescent="0.3">
      <c r="A1139" t="s">
        <v>1149</v>
      </c>
      <c r="B1139" t="s">
        <v>1150</v>
      </c>
    </row>
    <row r="1140" spans="1:2" x14ac:dyDescent="0.3">
      <c r="A1140" t="s">
        <v>1210</v>
      </c>
      <c r="B1140" t="s">
        <v>1211</v>
      </c>
    </row>
    <row r="1141" spans="1:2" x14ac:dyDescent="0.3">
      <c r="A1141" t="s">
        <v>1347</v>
      </c>
      <c r="B1141" t="s">
        <v>1348</v>
      </c>
    </row>
    <row r="1142" spans="1:2" x14ac:dyDescent="0.3">
      <c r="A1142" t="s">
        <v>1349</v>
      </c>
      <c r="B1142" t="s">
        <v>1350</v>
      </c>
    </row>
    <row r="1143" spans="1:2" x14ac:dyDescent="0.3">
      <c r="A1143" t="s">
        <v>1283</v>
      </c>
      <c r="B1143" t="s">
        <v>1284</v>
      </c>
    </row>
    <row r="1144" spans="1:2" x14ac:dyDescent="0.3">
      <c r="A1144" t="s">
        <v>1204</v>
      </c>
      <c r="B1144" t="s">
        <v>1205</v>
      </c>
    </row>
    <row r="1145" spans="1:2" x14ac:dyDescent="0.3">
      <c r="A1145" t="s">
        <v>1301</v>
      </c>
      <c r="B1145" t="s">
        <v>499</v>
      </c>
    </row>
    <row r="1146" spans="1:2" x14ac:dyDescent="0.3">
      <c r="A1146" t="s">
        <v>1287</v>
      </c>
      <c r="B1146" t="s">
        <v>1288</v>
      </c>
    </row>
    <row r="1147" spans="1:2" x14ac:dyDescent="0.3">
      <c r="A1147" t="s">
        <v>1172</v>
      </c>
      <c r="B1147" t="s">
        <v>1173</v>
      </c>
    </row>
    <row r="1148" spans="1:2" x14ac:dyDescent="0.3">
      <c r="A1148" t="s">
        <v>1328</v>
      </c>
      <c r="B1148" t="s">
        <v>1329</v>
      </c>
    </row>
    <row r="1149" spans="1:2" x14ac:dyDescent="0.3">
      <c r="A1149" t="s">
        <v>1289</v>
      </c>
      <c r="B1149" t="s">
        <v>1159</v>
      </c>
    </row>
    <row r="1150" spans="1:2" x14ac:dyDescent="0.3">
      <c r="A1150" t="s">
        <v>1153</v>
      </c>
      <c r="B1150" t="s">
        <v>1154</v>
      </c>
    </row>
    <row r="1151" spans="1:2" x14ac:dyDescent="0.3">
      <c r="A1151" t="s">
        <v>1322</v>
      </c>
      <c r="B1151" t="s">
        <v>1323</v>
      </c>
    </row>
    <row r="1152" spans="1:2" x14ac:dyDescent="0.3">
      <c r="A1152" t="s">
        <v>1324</v>
      </c>
      <c r="B1152" t="s">
        <v>1325</v>
      </c>
    </row>
    <row r="1153" spans="1:2" x14ac:dyDescent="0.3">
      <c r="A1153" t="s">
        <v>1194</v>
      </c>
      <c r="B1153" t="s">
        <v>1195</v>
      </c>
    </row>
    <row r="1154" spans="1:2" x14ac:dyDescent="0.3">
      <c r="A1154" t="s">
        <v>1170</v>
      </c>
      <c r="B1154" t="s">
        <v>1171</v>
      </c>
    </row>
    <row r="1155" spans="1:2" x14ac:dyDescent="0.3">
      <c r="A1155" t="s">
        <v>2199</v>
      </c>
      <c r="B1155" t="s">
        <v>2200</v>
      </c>
    </row>
    <row r="1156" spans="1:2" x14ac:dyDescent="0.3">
      <c r="A1156" t="s">
        <v>1180</v>
      </c>
      <c r="B1156" t="s">
        <v>1181</v>
      </c>
    </row>
    <row r="1157" spans="1:2" x14ac:dyDescent="0.3">
      <c r="A1157" t="s">
        <v>1200</v>
      </c>
      <c r="B1157" t="s">
        <v>1201</v>
      </c>
    </row>
    <row r="1158" spans="1:2" x14ac:dyDescent="0.3">
      <c r="A1158" t="s">
        <v>1315</v>
      </c>
      <c r="B1158" t="s">
        <v>1316</v>
      </c>
    </row>
    <row r="1159" spans="1:2" x14ac:dyDescent="0.3">
      <c r="A1159" t="s">
        <v>1198</v>
      </c>
      <c r="B1159" t="s">
        <v>1199</v>
      </c>
    </row>
    <row r="1160" spans="1:2" x14ac:dyDescent="0.3">
      <c r="A1160" t="s">
        <v>1317</v>
      </c>
      <c r="B1160" t="s">
        <v>1318</v>
      </c>
    </row>
    <row r="1161" spans="1:2" x14ac:dyDescent="0.3">
      <c r="A1161" t="s">
        <v>1184</v>
      </c>
      <c r="B1161" t="s">
        <v>1185</v>
      </c>
    </row>
    <row r="1162" spans="1:2" x14ac:dyDescent="0.3">
      <c r="A1162" t="s">
        <v>1176</v>
      </c>
      <c r="B1162" t="s">
        <v>1177</v>
      </c>
    </row>
    <row r="1163" spans="1:2" x14ac:dyDescent="0.3">
      <c r="A1163" t="s">
        <v>1174</v>
      </c>
      <c r="B1163" t="s">
        <v>1175</v>
      </c>
    </row>
    <row r="1164" spans="1:2" x14ac:dyDescent="0.3">
      <c r="A1164" t="s">
        <v>1219</v>
      </c>
      <c r="B1164" t="s">
        <v>1220</v>
      </c>
    </row>
    <row r="1165" spans="1:2" x14ac:dyDescent="0.3">
      <c r="A1165" t="s">
        <v>1275</v>
      </c>
      <c r="B1165" t="s">
        <v>1276</v>
      </c>
    </row>
    <row r="1166" spans="1:2" x14ac:dyDescent="0.3">
      <c r="A1166" t="s">
        <v>1340</v>
      </c>
      <c r="B1166" t="s">
        <v>1341</v>
      </c>
    </row>
    <row r="1167" spans="1:2" x14ac:dyDescent="0.3">
      <c r="A1167" t="s">
        <v>1338</v>
      </c>
      <c r="B1167" t="s">
        <v>1339</v>
      </c>
    </row>
    <row r="1168" spans="1:2" x14ac:dyDescent="0.3">
      <c r="A1168" t="s">
        <v>1619</v>
      </c>
      <c r="B1168" t="s">
        <v>1620</v>
      </c>
    </row>
    <row r="1169" spans="1:2" x14ac:dyDescent="0.3">
      <c r="A1169" t="s">
        <v>1285</v>
      </c>
      <c r="B1169" t="s">
        <v>1286</v>
      </c>
    </row>
    <row r="1170" spans="1:2" x14ac:dyDescent="0.3">
      <c r="A1170" t="s">
        <v>1642</v>
      </c>
      <c r="B1170" t="s">
        <v>1643</v>
      </c>
    </row>
    <row r="1171" spans="1:2" x14ac:dyDescent="0.3">
      <c r="A1171" t="s">
        <v>2180</v>
      </c>
      <c r="B1171" t="s">
        <v>2181</v>
      </c>
    </row>
    <row r="1172" spans="1:2" x14ac:dyDescent="0.3">
      <c r="A1172" t="s">
        <v>1139</v>
      </c>
      <c r="B1172" t="s">
        <v>1140</v>
      </c>
    </row>
    <row r="1173" spans="1:2" x14ac:dyDescent="0.3">
      <c r="A1173" t="s">
        <v>1599</v>
      </c>
      <c r="B1173" t="s">
        <v>1600</v>
      </c>
    </row>
    <row r="1174" spans="1:2" x14ac:dyDescent="0.3">
      <c r="A1174" t="s">
        <v>1306</v>
      </c>
      <c r="B1174" t="s">
        <v>245</v>
      </c>
    </row>
    <row r="1175" spans="1:2" x14ac:dyDescent="0.3">
      <c r="A1175" t="s">
        <v>1753</v>
      </c>
      <c r="B1175" t="s">
        <v>1754</v>
      </c>
    </row>
    <row r="1176" spans="1:2" x14ac:dyDescent="0.3">
      <c r="A1176" t="s">
        <v>1302</v>
      </c>
      <c r="B1176" t="s">
        <v>1303</v>
      </c>
    </row>
    <row r="1177" spans="1:2" x14ac:dyDescent="0.3">
      <c r="A1177" t="s">
        <v>1304</v>
      </c>
      <c r="B1177" t="s">
        <v>1305</v>
      </c>
    </row>
    <row r="1178" spans="1:2" x14ac:dyDescent="0.3">
      <c r="A1178" t="s">
        <v>1597</v>
      </c>
      <c r="B1178" t="s">
        <v>1598</v>
      </c>
    </row>
    <row r="1179" spans="1:2" x14ac:dyDescent="0.3">
      <c r="A1179" t="s">
        <v>1143</v>
      </c>
      <c r="B1179" t="s">
        <v>1144</v>
      </c>
    </row>
    <row r="1180" spans="1:2" x14ac:dyDescent="0.3">
      <c r="A1180" t="s">
        <v>1646</v>
      </c>
      <c r="B1180" t="s">
        <v>1647</v>
      </c>
    </row>
    <row r="1181" spans="1:2" x14ac:dyDescent="0.3">
      <c r="A1181" t="s">
        <v>1355</v>
      </c>
      <c r="B1181" t="s">
        <v>1356</v>
      </c>
    </row>
    <row r="1182" spans="1:2" x14ac:dyDescent="0.3">
      <c r="A1182" t="s">
        <v>2184</v>
      </c>
      <c r="B1182" t="s">
        <v>2185</v>
      </c>
    </row>
    <row r="1183" spans="1:2" x14ac:dyDescent="0.3">
      <c r="A1183" t="s">
        <v>1595</v>
      </c>
      <c r="B1183" t="s">
        <v>1596</v>
      </c>
    </row>
    <row r="1184" spans="1:2" x14ac:dyDescent="0.3">
      <c r="A1184" t="s">
        <v>1357</v>
      </c>
      <c r="B1184" t="s">
        <v>1358</v>
      </c>
    </row>
    <row r="1185" spans="1:2" x14ac:dyDescent="0.3">
      <c r="A1185" t="s">
        <v>1062</v>
      </c>
      <c r="B1185" t="s">
        <v>1063</v>
      </c>
    </row>
    <row r="1186" spans="1:2" x14ac:dyDescent="0.3">
      <c r="A1186" t="s">
        <v>1674</v>
      </c>
      <c r="B1186" t="s">
        <v>1675</v>
      </c>
    </row>
    <row r="1187" spans="1:2" x14ac:dyDescent="0.3">
      <c r="A1187" t="s">
        <v>1664</v>
      </c>
      <c r="B1187" t="s">
        <v>1665</v>
      </c>
    </row>
    <row r="1188" spans="1:2" x14ac:dyDescent="0.3">
      <c r="A1188" t="s">
        <v>1064</v>
      </c>
      <c r="B1188" t="s">
        <v>1004</v>
      </c>
    </row>
    <row r="1189" spans="1:2" x14ac:dyDescent="0.3">
      <c r="A1189" t="s">
        <v>2186</v>
      </c>
      <c r="B1189" t="s">
        <v>2187</v>
      </c>
    </row>
    <row r="1190" spans="1:2" x14ac:dyDescent="0.3">
      <c r="A1190" t="s">
        <v>2293</v>
      </c>
      <c r="B1190" t="s">
        <v>998</v>
      </c>
    </row>
    <row r="1191" spans="1:2" x14ac:dyDescent="0.3">
      <c r="A1191" t="s">
        <v>2314</v>
      </c>
      <c r="B1191" t="s">
        <v>2288</v>
      </c>
    </row>
    <row r="1192" spans="1:2" x14ac:dyDescent="0.3">
      <c r="A1192" t="s">
        <v>2315</v>
      </c>
      <c r="B1192" t="s">
        <v>2290</v>
      </c>
    </row>
    <row r="1193" spans="1:2" x14ac:dyDescent="0.3">
      <c r="A1193" t="s">
        <v>2329</v>
      </c>
      <c r="B1193" t="s">
        <v>2330</v>
      </c>
    </row>
    <row r="1194" spans="1:2" x14ac:dyDescent="0.3">
      <c r="A1194" t="s">
        <v>2308</v>
      </c>
      <c r="B1194" t="s">
        <v>2059</v>
      </c>
    </row>
    <row r="1195" spans="1:2" x14ac:dyDescent="0.3">
      <c r="A1195" t="s">
        <v>2339</v>
      </c>
      <c r="B1195" t="s">
        <v>2340</v>
      </c>
    </row>
    <row r="1196" spans="1:2" x14ac:dyDescent="0.3">
      <c r="A1196" t="s">
        <v>2337</v>
      </c>
      <c r="B1196" t="s">
        <v>2338</v>
      </c>
    </row>
    <row r="1197" spans="1:2" x14ac:dyDescent="0.3">
      <c r="A1197" t="s">
        <v>2321</v>
      </c>
      <c r="B1197" t="s">
        <v>2322</v>
      </c>
    </row>
    <row r="1198" spans="1:2" x14ac:dyDescent="0.3">
      <c r="A1198" t="s">
        <v>2302</v>
      </c>
      <c r="B1198" t="s">
        <v>2256</v>
      </c>
    </row>
    <row r="1199" spans="1:2" x14ac:dyDescent="0.3">
      <c r="A1199" t="s">
        <v>2312</v>
      </c>
      <c r="B1199" t="s">
        <v>1683</v>
      </c>
    </row>
    <row r="1200" spans="1:2" x14ac:dyDescent="0.3">
      <c r="A1200" t="s">
        <v>2327</v>
      </c>
      <c r="B1200" t="s">
        <v>2328</v>
      </c>
    </row>
    <row r="1201" spans="1:2" x14ac:dyDescent="0.3">
      <c r="A1201" t="s">
        <v>2316</v>
      </c>
      <c r="B1201" t="s">
        <v>1087</v>
      </c>
    </row>
    <row r="1202" spans="1:2" x14ac:dyDescent="0.3">
      <c r="A1202" t="s">
        <v>2319</v>
      </c>
      <c r="B1202" t="s">
        <v>2320</v>
      </c>
    </row>
    <row r="1203" spans="1:2" x14ac:dyDescent="0.3">
      <c r="A1203" t="s">
        <v>2323</v>
      </c>
      <c r="B1203" t="s">
        <v>2324</v>
      </c>
    </row>
    <row r="1204" spans="1:2" x14ac:dyDescent="0.3">
      <c r="A1204" t="s">
        <v>2341</v>
      </c>
      <c r="B1204" t="s">
        <v>2342</v>
      </c>
    </row>
    <row r="1205" spans="1:2" x14ac:dyDescent="0.3">
      <c r="A1205" t="s">
        <v>2303</v>
      </c>
      <c r="B1205" t="s">
        <v>2258</v>
      </c>
    </row>
    <row r="1206" spans="1:2" x14ac:dyDescent="0.3">
      <c r="A1206" t="s">
        <v>2309</v>
      </c>
      <c r="B1206" t="s">
        <v>2267</v>
      </c>
    </row>
    <row r="1207" spans="1:2" x14ac:dyDescent="0.3">
      <c r="A1207" t="s">
        <v>2313</v>
      </c>
      <c r="B1207" t="s">
        <v>2286</v>
      </c>
    </row>
    <row r="1208" spans="1:2" x14ac:dyDescent="0.3">
      <c r="A1208" t="s">
        <v>2310</v>
      </c>
      <c r="B1208" t="s">
        <v>1687</v>
      </c>
    </row>
    <row r="1209" spans="1:2" x14ac:dyDescent="0.3">
      <c r="A1209" t="s">
        <v>2333</v>
      </c>
      <c r="B1209" t="s">
        <v>2334</v>
      </c>
    </row>
    <row r="1210" spans="1:2" x14ac:dyDescent="0.3">
      <c r="A1210" t="s">
        <v>2305</v>
      </c>
      <c r="B1210" t="s">
        <v>2262</v>
      </c>
    </row>
    <row r="1211" spans="1:2" x14ac:dyDescent="0.3">
      <c r="A1211" t="s">
        <v>2335</v>
      </c>
      <c r="B1211" t="s">
        <v>2336</v>
      </c>
    </row>
    <row r="1212" spans="1:2" x14ac:dyDescent="0.3">
      <c r="A1212" t="s">
        <v>2296</v>
      </c>
      <c r="B1212" t="s">
        <v>2297</v>
      </c>
    </row>
    <row r="1213" spans="1:2" x14ac:dyDescent="0.3">
      <c r="A1213" t="s">
        <v>2298</v>
      </c>
      <c r="B1213" t="s">
        <v>2299</v>
      </c>
    </row>
    <row r="1214" spans="1:2" x14ac:dyDescent="0.3">
      <c r="A1214" t="s">
        <v>2300</v>
      </c>
      <c r="B1214" t="s">
        <v>2301</v>
      </c>
    </row>
    <row r="1215" spans="1:2" x14ac:dyDescent="0.3">
      <c r="A1215" t="s">
        <v>2306</v>
      </c>
      <c r="B1215" t="s">
        <v>2307</v>
      </c>
    </row>
    <row r="1216" spans="1:2" x14ac:dyDescent="0.3">
      <c r="A1216" t="s">
        <v>2304</v>
      </c>
      <c r="B1216" t="s">
        <v>2260</v>
      </c>
    </row>
    <row r="1217" spans="1:2" x14ac:dyDescent="0.3">
      <c r="A1217" t="s">
        <v>2294</v>
      </c>
      <c r="B1217" t="s">
        <v>2295</v>
      </c>
    </row>
    <row r="1218" spans="1:2" x14ac:dyDescent="0.3">
      <c r="A1218" t="s">
        <v>2311</v>
      </c>
      <c r="B1218" t="s">
        <v>2057</v>
      </c>
    </row>
    <row r="1219" spans="1:2" x14ac:dyDescent="0.3">
      <c r="A1219" t="s">
        <v>2317</v>
      </c>
      <c r="B1219" t="s">
        <v>2318</v>
      </c>
    </row>
    <row r="1220" spans="1:2" x14ac:dyDescent="0.3">
      <c r="A1220" t="s">
        <v>2343</v>
      </c>
      <c r="B1220" t="s">
        <v>2344</v>
      </c>
    </row>
    <row r="1221" spans="1:2" x14ac:dyDescent="0.3">
      <c r="A1221" t="s">
        <v>2345</v>
      </c>
      <c r="B1221" t="s">
        <v>2346</v>
      </c>
    </row>
    <row r="1222" spans="1:2" x14ac:dyDescent="0.3">
      <c r="A1222" t="s">
        <v>2331</v>
      </c>
      <c r="B1222" t="s">
        <v>2332</v>
      </c>
    </row>
    <row r="1223" spans="1:2" x14ac:dyDescent="0.3">
      <c r="A1223" t="s">
        <v>2325</v>
      </c>
      <c r="B1223" t="s">
        <v>2326</v>
      </c>
    </row>
    <row r="1224" spans="1:2" x14ac:dyDescent="0.3">
      <c r="A1224" t="s">
        <v>2188</v>
      </c>
      <c r="B1224" t="s">
        <v>2189</v>
      </c>
    </row>
    <row r="1225" spans="1:2" x14ac:dyDescent="0.3">
      <c r="A1225" t="s">
        <v>1054</v>
      </c>
      <c r="B1225" t="s">
        <v>1055</v>
      </c>
    </row>
    <row r="1226" spans="1:2" x14ac:dyDescent="0.3">
      <c r="A1226" t="s">
        <v>1057</v>
      </c>
      <c r="B1226" t="s">
        <v>1058</v>
      </c>
    </row>
    <row r="1227" spans="1:2" x14ac:dyDescent="0.3">
      <c r="A1227" t="s">
        <v>1056</v>
      </c>
      <c r="B1227" t="s">
        <v>1055</v>
      </c>
    </row>
    <row r="1228" spans="1:2" x14ac:dyDescent="0.3">
      <c r="A1228" t="s">
        <v>2190</v>
      </c>
      <c r="B1228" t="s">
        <v>2191</v>
      </c>
    </row>
    <row r="1229" spans="1:2" x14ac:dyDescent="0.3">
      <c r="A1229" t="s">
        <v>2287</v>
      </c>
      <c r="B1229" t="s">
        <v>2288</v>
      </c>
    </row>
    <row r="1230" spans="1:2" x14ac:dyDescent="0.3">
      <c r="A1230" t="s">
        <v>2289</v>
      </c>
      <c r="B1230" t="s">
        <v>2290</v>
      </c>
    </row>
    <row r="1231" spans="1:2" x14ac:dyDescent="0.3">
      <c r="A1231" t="s">
        <v>2270</v>
      </c>
      <c r="B1231" t="s">
        <v>1274</v>
      </c>
    </row>
    <row r="1232" spans="1:2" x14ac:dyDescent="0.3">
      <c r="A1232" t="s">
        <v>2265</v>
      </c>
      <c r="B1232" t="s">
        <v>2059</v>
      </c>
    </row>
    <row r="1233" spans="1:2" x14ac:dyDescent="0.3">
      <c r="A1233" t="s">
        <v>2274</v>
      </c>
      <c r="B1233" t="s">
        <v>1278</v>
      </c>
    </row>
    <row r="1234" spans="1:2" x14ac:dyDescent="0.3">
      <c r="A1234" t="s">
        <v>2275</v>
      </c>
      <c r="B1234" t="s">
        <v>1280</v>
      </c>
    </row>
    <row r="1235" spans="1:2" x14ac:dyDescent="0.3">
      <c r="A1235" t="s">
        <v>2276</v>
      </c>
      <c r="B1235" t="s">
        <v>2277</v>
      </c>
    </row>
    <row r="1236" spans="1:2" x14ac:dyDescent="0.3">
      <c r="A1236" t="s">
        <v>2255</v>
      </c>
      <c r="B1236" t="s">
        <v>2256</v>
      </c>
    </row>
    <row r="1237" spans="1:2" x14ac:dyDescent="0.3">
      <c r="A1237" t="s">
        <v>2284</v>
      </c>
      <c r="B1237" t="s">
        <v>1683</v>
      </c>
    </row>
    <row r="1238" spans="1:2" x14ac:dyDescent="0.3">
      <c r="A1238" t="s">
        <v>2278</v>
      </c>
      <c r="B1238" t="s">
        <v>2279</v>
      </c>
    </row>
    <row r="1239" spans="1:2" x14ac:dyDescent="0.3">
      <c r="A1239" t="s">
        <v>2282</v>
      </c>
      <c r="B1239" t="s">
        <v>2283</v>
      </c>
    </row>
    <row r="1240" spans="1:2" x14ac:dyDescent="0.3">
      <c r="A1240" t="s">
        <v>2291</v>
      </c>
      <c r="B1240" t="s">
        <v>1087</v>
      </c>
    </row>
    <row r="1241" spans="1:2" x14ac:dyDescent="0.3">
      <c r="A1241" t="s">
        <v>2257</v>
      </c>
      <c r="B1241" t="s">
        <v>2258</v>
      </c>
    </row>
    <row r="1242" spans="1:2" x14ac:dyDescent="0.3">
      <c r="A1242" t="s">
        <v>2268</v>
      </c>
      <c r="B1242" t="s">
        <v>2269</v>
      </c>
    </row>
    <row r="1243" spans="1:2" x14ac:dyDescent="0.3">
      <c r="A1243" t="s">
        <v>2266</v>
      </c>
      <c r="B1243" t="s">
        <v>2267</v>
      </c>
    </row>
    <row r="1244" spans="1:2" x14ac:dyDescent="0.3">
      <c r="A1244" t="s">
        <v>2285</v>
      </c>
      <c r="B1244" t="s">
        <v>2286</v>
      </c>
    </row>
    <row r="1245" spans="1:2" x14ac:dyDescent="0.3">
      <c r="A1245" t="s">
        <v>2261</v>
      </c>
      <c r="B1245" t="s">
        <v>2262</v>
      </c>
    </row>
    <row r="1246" spans="1:2" x14ac:dyDescent="0.3">
      <c r="A1246" t="s">
        <v>2272</v>
      </c>
      <c r="B1246" t="s">
        <v>2273</v>
      </c>
    </row>
    <row r="1247" spans="1:2" x14ac:dyDescent="0.3">
      <c r="A1247" t="s">
        <v>2281</v>
      </c>
      <c r="B1247" t="s">
        <v>5</v>
      </c>
    </row>
    <row r="1248" spans="1:2" x14ac:dyDescent="0.3">
      <c r="A1248" t="s">
        <v>2263</v>
      </c>
      <c r="B1248" t="s">
        <v>2264</v>
      </c>
    </row>
    <row r="1249" spans="1:2" x14ac:dyDescent="0.3">
      <c r="A1249" t="s">
        <v>2259</v>
      </c>
      <c r="B1249" t="s">
        <v>2260</v>
      </c>
    </row>
    <row r="1250" spans="1:2" x14ac:dyDescent="0.3">
      <c r="A1250" t="s">
        <v>2251</v>
      </c>
      <c r="B1250" t="s">
        <v>2252</v>
      </c>
    </row>
    <row r="1251" spans="1:2" x14ac:dyDescent="0.3">
      <c r="A1251" t="s">
        <v>2249</v>
      </c>
      <c r="B1251" t="s">
        <v>2250</v>
      </c>
    </row>
    <row r="1252" spans="1:2" x14ac:dyDescent="0.3">
      <c r="A1252" t="s">
        <v>2253</v>
      </c>
      <c r="B1252" t="s">
        <v>2254</v>
      </c>
    </row>
    <row r="1253" spans="1:2" x14ac:dyDescent="0.3">
      <c r="A1253" t="s">
        <v>2280</v>
      </c>
      <c r="B1253" t="s">
        <v>2057</v>
      </c>
    </row>
    <row r="1254" spans="1:2" x14ac:dyDescent="0.3">
      <c r="A1254" t="s">
        <v>2292</v>
      </c>
      <c r="B1254" t="s">
        <v>2057</v>
      </c>
    </row>
    <row r="1255" spans="1:2" x14ac:dyDescent="0.3">
      <c r="A1255" t="s">
        <v>2271</v>
      </c>
      <c r="B1255" t="s">
        <v>1276</v>
      </c>
    </row>
    <row r="1256" spans="1:2" x14ac:dyDescent="0.3">
      <c r="A1256" t="s">
        <v>2192</v>
      </c>
      <c r="B1256" t="s">
        <v>2193</v>
      </c>
    </row>
    <row r="1257" spans="1:2" x14ac:dyDescent="0.3">
      <c r="A1257" t="s">
        <v>1028</v>
      </c>
      <c r="B1257" t="s">
        <v>1029</v>
      </c>
    </row>
    <row r="1258" spans="1:2" x14ac:dyDescent="0.3">
      <c r="A1258" t="s">
        <v>459</v>
      </c>
      <c r="B1258" t="s">
        <v>460</v>
      </c>
    </row>
    <row r="1259" spans="1:2" x14ac:dyDescent="0.3">
      <c r="A1259" t="s">
        <v>465</v>
      </c>
      <c r="B1259" t="s">
        <v>466</v>
      </c>
    </row>
    <row r="1260" spans="1:2" x14ac:dyDescent="0.3">
      <c r="A1260" t="s">
        <v>463</v>
      </c>
      <c r="B1260" t="s">
        <v>464</v>
      </c>
    </row>
    <row r="1261" spans="1:2" x14ac:dyDescent="0.3">
      <c r="A1261" t="s">
        <v>461</v>
      </c>
      <c r="B1261" t="s">
        <v>462</v>
      </c>
    </row>
    <row r="1262" spans="1:2" x14ac:dyDescent="0.3">
      <c r="A1262" t="s">
        <v>563</v>
      </c>
      <c r="B1262" t="s">
        <v>564</v>
      </c>
    </row>
    <row r="1263" spans="1:2" x14ac:dyDescent="0.3">
      <c r="A1263" t="s">
        <v>383</v>
      </c>
      <c r="B1263" t="s">
        <v>384</v>
      </c>
    </row>
    <row r="1264" spans="1:2" x14ac:dyDescent="0.3">
      <c r="A1264" t="s">
        <v>106</v>
      </c>
      <c r="B1264" t="s">
        <v>107</v>
      </c>
    </row>
    <row r="1265" spans="1:2" x14ac:dyDescent="0.3">
      <c r="A1265" t="s">
        <v>108</v>
      </c>
      <c r="B1265" t="s">
        <v>109</v>
      </c>
    </row>
    <row r="1266" spans="1:2" x14ac:dyDescent="0.3">
      <c r="A1266" t="s">
        <v>4</v>
      </c>
      <c r="B1266" t="s">
        <v>3824</v>
      </c>
    </row>
    <row r="1267" spans="1:2" x14ac:dyDescent="0.3">
      <c r="A1267" t="s">
        <v>16</v>
      </c>
      <c r="B1267" t="s">
        <v>17</v>
      </c>
    </row>
    <row r="1268" spans="1:2" x14ac:dyDescent="0.3">
      <c r="A1268" t="s">
        <v>50</v>
      </c>
      <c r="B1268" t="s">
        <v>51</v>
      </c>
    </row>
    <row r="1269" spans="1:2" x14ac:dyDescent="0.3">
      <c r="A1269" t="s">
        <v>311</v>
      </c>
      <c r="B1269" t="s">
        <v>312</v>
      </c>
    </row>
    <row r="1270" spans="1:2" x14ac:dyDescent="0.3">
      <c r="A1270" t="s">
        <v>1531</v>
      </c>
      <c r="B1270" t="s">
        <v>562</v>
      </c>
    </row>
    <row r="1271" spans="1:2" x14ac:dyDescent="0.3">
      <c r="A1271" t="s">
        <v>1202</v>
      </c>
      <c r="B1271" t="s">
        <v>1203</v>
      </c>
    </row>
    <row r="1272" spans="1:2" x14ac:dyDescent="0.3">
      <c r="A1272" t="s">
        <v>733</v>
      </c>
      <c r="B1272" t="s">
        <v>734</v>
      </c>
    </row>
    <row r="1273" spans="1:2" x14ac:dyDescent="0.3">
      <c r="A1273" t="s">
        <v>926</v>
      </c>
      <c r="B1273" t="s">
        <v>927</v>
      </c>
    </row>
    <row r="1274" spans="1:2" x14ac:dyDescent="0.3">
      <c r="A1274" t="s">
        <v>928</v>
      </c>
      <c r="B1274" t="s">
        <v>929</v>
      </c>
    </row>
    <row r="1275" spans="1:2" x14ac:dyDescent="0.3">
      <c r="A1275" t="s">
        <v>924</v>
      </c>
      <c r="B1275" t="s">
        <v>925</v>
      </c>
    </row>
    <row r="1276" spans="1:2" x14ac:dyDescent="0.3">
      <c r="A1276" t="s">
        <v>445</v>
      </c>
      <c r="B1276" t="s">
        <v>446</v>
      </c>
    </row>
    <row r="1277" spans="1:2" x14ac:dyDescent="0.3">
      <c r="A1277" t="s">
        <v>190</v>
      </c>
      <c r="B1277" t="s">
        <v>191</v>
      </c>
    </row>
    <row r="1278" spans="1:2" x14ac:dyDescent="0.3">
      <c r="A1278" t="s">
        <v>512</v>
      </c>
      <c r="B1278" t="s">
        <v>513</v>
      </c>
    </row>
    <row r="1279" spans="1:2" x14ac:dyDescent="0.3">
      <c r="A1279" t="s">
        <v>260</v>
      </c>
      <c r="B1279" t="s">
        <v>261</v>
      </c>
    </row>
    <row r="1280" spans="1:2" x14ac:dyDescent="0.3">
      <c r="A1280" t="s">
        <v>268</v>
      </c>
      <c r="B1280" t="s">
        <v>269</v>
      </c>
    </row>
    <row r="1281" spans="1:2" x14ac:dyDescent="0.3">
      <c r="A1281" t="s">
        <v>270</v>
      </c>
      <c r="B1281" t="s">
        <v>271</v>
      </c>
    </row>
    <row r="1282" spans="1:2" x14ac:dyDescent="0.3">
      <c r="A1282" t="s">
        <v>65</v>
      </c>
      <c r="B1282" t="s">
        <v>66</v>
      </c>
    </row>
    <row r="1283" spans="1:2" x14ac:dyDescent="0.3">
      <c r="A1283" t="s">
        <v>373</v>
      </c>
      <c r="B1283" t="s">
        <v>374</v>
      </c>
    </row>
    <row r="1284" spans="1:2" x14ac:dyDescent="0.3">
      <c r="A1284" t="s">
        <v>98</v>
      </c>
      <c r="B1284" t="s">
        <v>99</v>
      </c>
    </row>
    <row r="1285" spans="1:2" x14ac:dyDescent="0.3">
      <c r="A1285" t="s">
        <v>100</v>
      </c>
      <c r="B1285" t="s">
        <v>101</v>
      </c>
    </row>
    <row r="1286" spans="1:2" x14ac:dyDescent="0.3">
      <c r="A1286" t="s">
        <v>248</v>
      </c>
      <c r="B1286" t="s">
        <v>249</v>
      </c>
    </row>
    <row r="1287" spans="1:2" x14ac:dyDescent="0.3">
      <c r="A1287" t="s">
        <v>250</v>
      </c>
      <c r="B1287" t="s">
        <v>251</v>
      </c>
    </row>
    <row r="1288" spans="1:2" x14ac:dyDescent="0.3">
      <c r="A1288" t="s">
        <v>1525</v>
      </c>
      <c r="B1288" t="s">
        <v>1526</v>
      </c>
    </row>
    <row r="1289" spans="1:2" x14ac:dyDescent="0.3">
      <c r="A1289" t="s">
        <v>449</v>
      </c>
      <c r="B1289" t="s">
        <v>450</v>
      </c>
    </row>
    <row r="1290" spans="1:2" x14ac:dyDescent="0.3">
      <c r="A1290" t="s">
        <v>1440</v>
      </c>
      <c r="B1290" t="s">
        <v>1441</v>
      </c>
    </row>
    <row r="1291" spans="1:2" x14ac:dyDescent="0.3">
      <c r="A1291" t="s">
        <v>351</v>
      </c>
      <c r="B1291" t="s">
        <v>352</v>
      </c>
    </row>
    <row r="1292" spans="1:2" x14ac:dyDescent="0.3">
      <c r="A1292" t="s">
        <v>385</v>
      </c>
      <c r="B1292" t="s">
        <v>386</v>
      </c>
    </row>
    <row r="1293" spans="1:2" x14ac:dyDescent="0.3">
      <c r="A1293" t="s">
        <v>1444</v>
      </c>
      <c r="B1293" t="s">
        <v>1445</v>
      </c>
    </row>
    <row r="1294" spans="1:2" x14ac:dyDescent="0.3">
      <c r="A1294" t="s">
        <v>1447</v>
      </c>
      <c r="B1294" t="s">
        <v>241</v>
      </c>
    </row>
    <row r="1295" spans="1:2" x14ac:dyDescent="0.3">
      <c r="A1295" t="s">
        <v>1448</v>
      </c>
      <c r="B1295" t="s">
        <v>1021</v>
      </c>
    </row>
    <row r="1296" spans="1:2" x14ac:dyDescent="0.3">
      <c r="A1296" t="s">
        <v>1451</v>
      </c>
      <c r="B1296" t="s">
        <v>428</v>
      </c>
    </row>
    <row r="1297" spans="1:2" x14ac:dyDescent="0.3">
      <c r="A1297" t="s">
        <v>1446</v>
      </c>
      <c r="B1297" t="s">
        <v>1142</v>
      </c>
    </row>
    <row r="1298" spans="1:2" x14ac:dyDescent="0.3">
      <c r="A1298" t="s">
        <v>1450</v>
      </c>
      <c r="B1298" t="s">
        <v>1017</v>
      </c>
    </row>
    <row r="1299" spans="1:2" x14ac:dyDescent="0.3">
      <c r="A1299" t="s">
        <v>1454</v>
      </c>
      <c r="B1299" t="s">
        <v>1455</v>
      </c>
    </row>
    <row r="1300" spans="1:2" x14ac:dyDescent="0.3">
      <c r="A1300" t="s">
        <v>1452</v>
      </c>
      <c r="B1300" t="s">
        <v>1453</v>
      </c>
    </row>
    <row r="1301" spans="1:2" x14ac:dyDescent="0.3">
      <c r="A1301" t="s">
        <v>1457</v>
      </c>
      <c r="B1301" t="s">
        <v>1458</v>
      </c>
    </row>
    <row r="1302" spans="1:2" x14ac:dyDescent="0.3">
      <c r="A1302" t="s">
        <v>1456</v>
      </c>
      <c r="B1302" t="s">
        <v>386</v>
      </c>
    </row>
    <row r="1303" spans="1:2" x14ac:dyDescent="0.3">
      <c r="A1303" t="s">
        <v>1449</v>
      </c>
      <c r="B1303" t="s">
        <v>873</v>
      </c>
    </row>
    <row r="1304" spans="1:2" x14ac:dyDescent="0.3">
      <c r="A1304" t="s">
        <v>359</v>
      </c>
      <c r="B1304" t="s">
        <v>360</v>
      </c>
    </row>
    <row r="1305" spans="1:2" x14ac:dyDescent="0.3">
      <c r="A1305" t="s">
        <v>226</v>
      </c>
      <c r="B1305" t="s">
        <v>227</v>
      </c>
    </row>
    <row r="1306" spans="1:2" x14ac:dyDescent="0.3">
      <c r="A1306" t="s">
        <v>357</v>
      </c>
      <c r="B1306" t="s">
        <v>358</v>
      </c>
    </row>
    <row r="1307" spans="1:2" x14ac:dyDescent="0.3">
      <c r="A1307" t="s">
        <v>431</v>
      </c>
      <c r="B1307" t="s">
        <v>432</v>
      </c>
    </row>
    <row r="1308" spans="1:2" x14ac:dyDescent="0.3">
      <c r="A1308" t="s">
        <v>537</v>
      </c>
      <c r="B1308" t="s">
        <v>538</v>
      </c>
    </row>
    <row r="1309" spans="1:2" x14ac:dyDescent="0.3">
      <c r="A1309" t="s">
        <v>539</v>
      </c>
      <c r="B1309" t="s">
        <v>540</v>
      </c>
    </row>
    <row r="1310" spans="1:2" x14ac:dyDescent="0.3">
      <c r="A1310" t="s">
        <v>861</v>
      </c>
      <c r="B1310" t="s">
        <v>862</v>
      </c>
    </row>
    <row r="1311" spans="1:2" x14ac:dyDescent="0.3">
      <c r="A1311" t="s">
        <v>102</v>
      </c>
      <c r="B1311" t="s">
        <v>103</v>
      </c>
    </row>
    <row r="1312" spans="1:2" x14ac:dyDescent="0.3">
      <c r="A1312" t="s">
        <v>104</v>
      </c>
      <c r="B1312" t="s">
        <v>105</v>
      </c>
    </row>
    <row r="1313" spans="1:2" x14ac:dyDescent="0.3">
      <c r="A1313" t="s">
        <v>715</v>
      </c>
      <c r="B1313" t="s">
        <v>716</v>
      </c>
    </row>
    <row r="1314" spans="1:2" x14ac:dyDescent="0.3">
      <c r="A1314" t="s">
        <v>1555</v>
      </c>
      <c r="B1314" t="s">
        <v>1556</v>
      </c>
    </row>
    <row r="1315" spans="1:2" x14ac:dyDescent="0.3">
      <c r="A1315" t="s">
        <v>1736</v>
      </c>
      <c r="B1315" t="s">
        <v>1737</v>
      </c>
    </row>
    <row r="1316" spans="1:2" x14ac:dyDescent="0.3">
      <c r="A1316" t="s">
        <v>1569</v>
      </c>
      <c r="B1316" t="s">
        <v>1570</v>
      </c>
    </row>
    <row r="1317" spans="1:2" x14ac:dyDescent="0.3">
      <c r="A1317" t="s">
        <v>1553</v>
      </c>
      <c r="B1317" t="s">
        <v>1554</v>
      </c>
    </row>
    <row r="1318" spans="1:2" x14ac:dyDescent="0.3">
      <c r="A1318" t="s">
        <v>1565</v>
      </c>
      <c r="B1318" t="s">
        <v>1566</v>
      </c>
    </row>
    <row r="1319" spans="1:2" x14ac:dyDescent="0.3">
      <c r="A1319" t="s">
        <v>1559</v>
      </c>
      <c r="B1319" t="s">
        <v>1560</v>
      </c>
    </row>
    <row r="1320" spans="1:2" x14ac:dyDescent="0.3">
      <c r="A1320" t="s">
        <v>1563</v>
      </c>
      <c r="B1320" t="s">
        <v>1564</v>
      </c>
    </row>
    <row r="1321" spans="1:2" x14ac:dyDescent="0.3">
      <c r="A1321" t="s">
        <v>1567</v>
      </c>
      <c r="B1321" t="s">
        <v>1568</v>
      </c>
    </row>
    <row r="1322" spans="1:2" x14ac:dyDescent="0.3">
      <c r="A1322" t="s">
        <v>1561</v>
      </c>
      <c r="B1322" t="s">
        <v>1562</v>
      </c>
    </row>
    <row r="1323" spans="1:2" x14ac:dyDescent="0.3">
      <c r="A1323" t="s">
        <v>1571</v>
      </c>
      <c r="B1323" t="s">
        <v>1572</v>
      </c>
    </row>
    <row r="1324" spans="1:2" x14ac:dyDescent="0.3">
      <c r="A1324" t="s">
        <v>1557</v>
      </c>
      <c r="B1324" t="s">
        <v>1558</v>
      </c>
    </row>
    <row r="1325" spans="1:2" x14ac:dyDescent="0.3">
      <c r="A1325" t="s">
        <v>1547</v>
      </c>
      <c r="B1325" t="s">
        <v>1548</v>
      </c>
    </row>
    <row r="1326" spans="1:2" x14ac:dyDescent="0.3">
      <c r="A1326" t="s">
        <v>508</v>
      </c>
      <c r="B1326" t="s">
        <v>509</v>
      </c>
    </row>
    <row r="1327" spans="1:2" x14ac:dyDescent="0.3">
      <c r="A1327" t="s">
        <v>1095</v>
      </c>
      <c r="B1327" t="s">
        <v>1096</v>
      </c>
    </row>
    <row r="1328" spans="1:2" x14ac:dyDescent="0.3">
      <c r="A1328" t="s">
        <v>1414</v>
      </c>
      <c r="B1328" t="s">
        <v>1415</v>
      </c>
    </row>
    <row r="1329" spans="1:2" x14ac:dyDescent="0.3">
      <c r="A1329" t="s">
        <v>1109</v>
      </c>
      <c r="B1329" t="s">
        <v>1110</v>
      </c>
    </row>
    <row r="1330" spans="1:2" x14ac:dyDescent="0.3">
      <c r="A1330" t="s">
        <v>1013</v>
      </c>
      <c r="B1330" t="s">
        <v>873</v>
      </c>
    </row>
    <row r="1331" spans="1:2" x14ac:dyDescent="0.3">
      <c r="A1331" t="s">
        <v>1762</v>
      </c>
      <c r="B1331" t="s">
        <v>1763</v>
      </c>
    </row>
    <row r="1332" spans="1:2" x14ac:dyDescent="0.3">
      <c r="A1332" t="s">
        <v>1764</v>
      </c>
      <c r="B1332" t="s">
        <v>1765</v>
      </c>
    </row>
    <row r="1333" spans="1:2" x14ac:dyDescent="0.3">
      <c r="A1333" t="s">
        <v>1014</v>
      </c>
      <c r="B1333" t="s">
        <v>1015</v>
      </c>
    </row>
    <row r="1334" spans="1:2" x14ac:dyDescent="0.3">
      <c r="A1334" t="s">
        <v>168</v>
      </c>
      <c r="B1334" t="s">
        <v>169</v>
      </c>
    </row>
    <row r="1335" spans="1:2" x14ac:dyDescent="0.3">
      <c r="A1335" t="s">
        <v>331</v>
      </c>
      <c r="B1335" t="s">
        <v>332</v>
      </c>
    </row>
  </sheetData>
  <autoFilter ref="A1:B1335" xr:uid="{50DF3217-D52D-4D06-8BAC-632AFD5D13D1}"/>
  <sortState xmlns:xlrd2="http://schemas.microsoft.com/office/spreadsheetml/2017/richdata2" ref="A2:B1786">
    <sortCondition ref="A1:A1786"/>
  </sortState>
  <conditionalFormatting sqref="A2:A1048576">
    <cfRule type="duplicateValues" dxfId="0"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43AC2-2BE6-4B80-A6DA-070ED5D54CA3}">
  <dimension ref="A1:B1403"/>
  <sheetViews>
    <sheetView workbookViewId="0">
      <selection activeCell="B1" sqref="B1:C1048576"/>
    </sheetView>
  </sheetViews>
  <sheetFormatPr defaultRowHeight="14.4" x14ac:dyDescent="0.3"/>
  <cols>
    <col min="1" max="1" width="56.77734375" bestFit="1" customWidth="1"/>
  </cols>
  <sheetData>
    <row r="1" spans="1:2" x14ac:dyDescent="0.3">
      <c r="A1" t="s">
        <v>888</v>
      </c>
      <c r="B1" t="s">
        <v>2680</v>
      </c>
    </row>
    <row r="2" spans="1:2" x14ac:dyDescent="0.3">
      <c r="A2" t="s">
        <v>886</v>
      </c>
      <c r="B2" t="s">
        <v>2681</v>
      </c>
    </row>
    <row r="3" spans="1:2" x14ac:dyDescent="0.3">
      <c r="A3" t="s">
        <v>884</v>
      </c>
      <c r="B3" t="s">
        <v>2681</v>
      </c>
    </row>
    <row r="4" spans="1:2" x14ac:dyDescent="0.3">
      <c r="A4" t="s">
        <v>1020</v>
      </c>
      <c r="B4" t="s">
        <v>2682</v>
      </c>
    </row>
    <row r="5" spans="1:2" x14ac:dyDescent="0.3">
      <c r="A5" t="s">
        <v>1052</v>
      </c>
      <c r="B5" t="s">
        <v>2683</v>
      </c>
    </row>
    <row r="6" spans="1:2" x14ac:dyDescent="0.3">
      <c r="A6" t="s">
        <v>705</v>
      </c>
      <c r="B6" t="s">
        <v>2684</v>
      </c>
    </row>
    <row r="7" spans="1:2" x14ac:dyDescent="0.3">
      <c r="A7" t="s">
        <v>1051</v>
      </c>
      <c r="B7" t="s">
        <v>2685</v>
      </c>
    </row>
    <row r="8" spans="1:2" x14ac:dyDescent="0.3">
      <c r="A8" t="s">
        <v>741</v>
      </c>
      <c r="B8" t="s">
        <v>2686</v>
      </c>
    </row>
    <row r="9" spans="1:2" x14ac:dyDescent="0.3">
      <c r="A9" t="s">
        <v>783</v>
      </c>
      <c r="B9" t="s">
        <v>2687</v>
      </c>
    </row>
    <row r="10" spans="1:2" x14ac:dyDescent="0.3">
      <c r="A10" t="s">
        <v>70</v>
      </c>
      <c r="B10" t="s">
        <v>2688</v>
      </c>
    </row>
    <row r="11" spans="1:2" x14ac:dyDescent="0.3">
      <c r="A11" t="s">
        <v>697</v>
      </c>
      <c r="B11" t="s">
        <v>2689</v>
      </c>
    </row>
    <row r="12" spans="1:2" x14ac:dyDescent="0.3">
      <c r="A12" t="s">
        <v>490</v>
      </c>
      <c r="B12" t="s">
        <v>2690</v>
      </c>
    </row>
    <row r="13" spans="1:2" x14ac:dyDescent="0.3">
      <c r="A13" t="s">
        <v>628</v>
      </c>
      <c r="B13" t="s">
        <v>2691</v>
      </c>
    </row>
    <row r="14" spans="1:2" x14ac:dyDescent="0.3">
      <c r="A14" t="s">
        <v>403</v>
      </c>
      <c r="B14" t="s">
        <v>2692</v>
      </c>
    </row>
    <row r="15" spans="1:2" x14ac:dyDescent="0.3">
      <c r="A15" t="s">
        <v>443</v>
      </c>
      <c r="B15" t="s">
        <v>2693</v>
      </c>
    </row>
    <row r="16" spans="1:2" x14ac:dyDescent="0.3">
      <c r="A16" t="s">
        <v>614</v>
      </c>
      <c r="B16" t="s">
        <v>2694</v>
      </c>
    </row>
    <row r="17" spans="1:2" x14ac:dyDescent="0.3">
      <c r="A17" t="s">
        <v>54</v>
      </c>
      <c r="B17" t="s">
        <v>2695</v>
      </c>
    </row>
    <row r="18" spans="1:2" x14ac:dyDescent="0.3">
      <c r="A18" t="s">
        <v>116</v>
      </c>
      <c r="B18" t="s">
        <v>2696</v>
      </c>
    </row>
    <row r="19" spans="1:2" x14ac:dyDescent="0.3">
      <c r="A19" t="s">
        <v>399</v>
      </c>
      <c r="B19" t="s">
        <v>2697</v>
      </c>
    </row>
    <row r="20" spans="1:2" x14ac:dyDescent="0.3">
      <c r="A20" t="s">
        <v>853</v>
      </c>
      <c r="B20" t="s">
        <v>2698</v>
      </c>
    </row>
    <row r="21" spans="1:2" x14ac:dyDescent="0.3">
      <c r="A21" t="s">
        <v>266</v>
      </c>
      <c r="B21" t="s">
        <v>2699</v>
      </c>
    </row>
    <row r="22" spans="1:2" x14ac:dyDescent="0.3">
      <c r="A22" t="s">
        <v>721</v>
      </c>
      <c r="B22" t="s">
        <v>2700</v>
      </c>
    </row>
    <row r="23" spans="1:2" x14ac:dyDescent="0.3">
      <c r="A23" t="s">
        <v>803</v>
      </c>
      <c r="B23" t="s">
        <v>2701</v>
      </c>
    </row>
    <row r="24" spans="1:2" x14ac:dyDescent="0.3">
      <c r="A24" t="s">
        <v>649</v>
      </c>
      <c r="B24" t="s">
        <v>2702</v>
      </c>
    </row>
    <row r="25" spans="1:2" x14ac:dyDescent="0.3">
      <c r="A25" t="s">
        <v>65</v>
      </c>
      <c r="B25" t="s">
        <v>2703</v>
      </c>
    </row>
    <row r="26" spans="1:2" x14ac:dyDescent="0.3">
      <c r="A26" t="s">
        <v>773</v>
      </c>
      <c r="B26" t="s">
        <v>2704</v>
      </c>
    </row>
    <row r="27" spans="1:2" x14ac:dyDescent="0.3">
      <c r="A27" t="s">
        <v>34</v>
      </c>
      <c r="B27" t="s">
        <v>2705</v>
      </c>
    </row>
    <row r="28" spans="1:2" x14ac:dyDescent="0.3">
      <c r="A28" t="s">
        <v>331</v>
      </c>
      <c r="B28" t="s">
        <v>2706</v>
      </c>
    </row>
    <row r="29" spans="1:2" x14ac:dyDescent="0.3">
      <c r="A29" t="s">
        <v>52</v>
      </c>
      <c r="B29" t="s">
        <v>2707</v>
      </c>
    </row>
    <row r="30" spans="1:2" x14ac:dyDescent="0.3">
      <c r="A30" t="s">
        <v>427</v>
      </c>
      <c r="B30" t="s">
        <v>2708</v>
      </c>
    </row>
    <row r="31" spans="1:2" x14ac:dyDescent="0.3">
      <c r="A31" t="s">
        <v>270</v>
      </c>
      <c r="B31" t="s">
        <v>2709</v>
      </c>
    </row>
    <row r="32" spans="1:2" x14ac:dyDescent="0.3">
      <c r="A32" t="s">
        <v>335</v>
      </c>
      <c r="B32" t="s">
        <v>2710</v>
      </c>
    </row>
    <row r="33" spans="1:2" x14ac:dyDescent="0.3">
      <c r="A33" t="s">
        <v>180</v>
      </c>
      <c r="B33" t="s">
        <v>2711</v>
      </c>
    </row>
    <row r="34" spans="1:2" x14ac:dyDescent="0.3">
      <c r="A34" t="s">
        <v>200</v>
      </c>
      <c r="B34" t="s">
        <v>2712</v>
      </c>
    </row>
    <row r="35" spans="1:2" x14ac:dyDescent="0.3">
      <c r="A35" t="s">
        <v>148</v>
      </c>
      <c r="B35" t="s">
        <v>2713</v>
      </c>
    </row>
    <row r="36" spans="1:2" x14ac:dyDescent="0.3">
      <c r="A36" t="s">
        <v>194</v>
      </c>
      <c r="B36" t="s">
        <v>2714</v>
      </c>
    </row>
    <row r="37" spans="1:2" x14ac:dyDescent="0.3">
      <c r="A37" t="s">
        <v>1034</v>
      </c>
      <c r="B37" t="s">
        <v>2715</v>
      </c>
    </row>
    <row r="38" spans="1:2" x14ac:dyDescent="0.3">
      <c r="A38" t="s">
        <v>775</v>
      </c>
      <c r="B38" t="s">
        <v>2716</v>
      </c>
    </row>
    <row r="39" spans="1:2" x14ac:dyDescent="0.3">
      <c r="A39" t="s">
        <v>152</v>
      </c>
      <c r="B39" t="s">
        <v>2717</v>
      </c>
    </row>
    <row r="40" spans="1:2" x14ac:dyDescent="0.3">
      <c r="A40" t="s">
        <v>385</v>
      </c>
      <c r="B40" t="s">
        <v>2718</v>
      </c>
    </row>
    <row r="41" spans="1:2" x14ac:dyDescent="0.3">
      <c r="A41" t="s">
        <v>401</v>
      </c>
      <c r="B41" t="s">
        <v>2719</v>
      </c>
    </row>
    <row r="42" spans="1:2" x14ac:dyDescent="0.3">
      <c r="A42" t="s">
        <v>928</v>
      </c>
      <c r="B42" t="s">
        <v>2720</v>
      </c>
    </row>
    <row r="43" spans="1:2" x14ac:dyDescent="0.3">
      <c r="A43" t="s">
        <v>32</v>
      </c>
      <c r="B43" t="s">
        <v>2721</v>
      </c>
    </row>
    <row r="44" spans="1:2" x14ac:dyDescent="0.3">
      <c r="A44" t="s">
        <v>272</v>
      </c>
      <c r="B44" t="s">
        <v>2722</v>
      </c>
    </row>
    <row r="45" spans="1:2" x14ac:dyDescent="0.3">
      <c r="A45" t="s">
        <v>733</v>
      </c>
      <c r="B45" t="s">
        <v>2723</v>
      </c>
    </row>
    <row r="46" spans="1:2" x14ac:dyDescent="0.3">
      <c r="A46" t="s">
        <v>473</v>
      </c>
      <c r="B46" t="s">
        <v>2724</v>
      </c>
    </row>
    <row r="47" spans="1:2" x14ac:dyDescent="0.3">
      <c r="A47" t="s">
        <v>936</v>
      </c>
      <c r="B47" t="s">
        <v>2725</v>
      </c>
    </row>
    <row r="48" spans="1:2" x14ac:dyDescent="0.3">
      <c r="A48" t="s">
        <v>164</v>
      </c>
      <c r="B48" t="s">
        <v>2726</v>
      </c>
    </row>
    <row r="49" spans="1:2" x14ac:dyDescent="0.3">
      <c r="A49" t="s">
        <v>684</v>
      </c>
      <c r="B49" t="s">
        <v>2727</v>
      </c>
    </row>
    <row r="50" spans="1:2" x14ac:dyDescent="0.3">
      <c r="A50" t="s">
        <v>479</v>
      </c>
      <c r="B50" t="s">
        <v>2728</v>
      </c>
    </row>
    <row r="51" spans="1:2" x14ac:dyDescent="0.3">
      <c r="A51" t="s">
        <v>934</v>
      </c>
      <c r="B51" t="s">
        <v>2729</v>
      </c>
    </row>
    <row r="52" spans="1:2" x14ac:dyDescent="0.3">
      <c r="A52" t="s">
        <v>28</v>
      </c>
      <c r="B52" t="s">
        <v>2730</v>
      </c>
    </row>
    <row r="53" spans="1:2" x14ac:dyDescent="0.3">
      <c r="A53" t="s">
        <v>1022</v>
      </c>
      <c r="B53" t="s">
        <v>2731</v>
      </c>
    </row>
    <row r="54" spans="1:2" x14ac:dyDescent="0.3">
      <c r="A54" t="s">
        <v>1024</v>
      </c>
      <c r="B54" t="s">
        <v>2732</v>
      </c>
    </row>
    <row r="55" spans="1:2" x14ac:dyDescent="0.3">
      <c r="A55" t="s">
        <v>759</v>
      </c>
      <c r="B55" t="s">
        <v>2733</v>
      </c>
    </row>
    <row r="56" spans="1:2" x14ac:dyDescent="0.3">
      <c r="A56" t="s">
        <v>224</v>
      </c>
      <c r="B56" t="s">
        <v>2734</v>
      </c>
    </row>
    <row r="57" spans="1:2" x14ac:dyDescent="0.3">
      <c r="A57" t="s">
        <v>321</v>
      </c>
      <c r="B57" t="s">
        <v>2735</v>
      </c>
    </row>
    <row r="58" spans="1:2" x14ac:dyDescent="0.3">
      <c r="A58" t="s">
        <v>2736</v>
      </c>
      <c r="B58" t="s">
        <v>2737</v>
      </c>
    </row>
    <row r="59" spans="1:2" x14ac:dyDescent="0.3">
      <c r="A59" t="s">
        <v>516</v>
      </c>
      <c r="B59" t="s">
        <v>2738</v>
      </c>
    </row>
    <row r="60" spans="1:2" x14ac:dyDescent="0.3">
      <c r="A60" t="s">
        <v>280</v>
      </c>
      <c r="B60" t="s">
        <v>2739</v>
      </c>
    </row>
    <row r="61" spans="1:2" x14ac:dyDescent="0.3">
      <c r="A61" t="s">
        <v>186</v>
      </c>
      <c r="B61" t="s">
        <v>2740</v>
      </c>
    </row>
    <row r="62" spans="1:2" x14ac:dyDescent="0.3">
      <c r="A62" t="s">
        <v>547</v>
      </c>
      <c r="B62" t="s">
        <v>2741</v>
      </c>
    </row>
    <row r="63" spans="1:2" x14ac:dyDescent="0.3">
      <c r="A63" t="s">
        <v>571</v>
      </c>
      <c r="B63" t="s">
        <v>2742</v>
      </c>
    </row>
    <row r="64" spans="1:2" x14ac:dyDescent="0.3">
      <c r="A64" t="s">
        <v>441</v>
      </c>
      <c r="B64" t="s">
        <v>2743</v>
      </c>
    </row>
    <row r="65" spans="1:2" x14ac:dyDescent="0.3">
      <c r="A65" t="s">
        <v>535</v>
      </c>
      <c r="B65" t="s">
        <v>2744</v>
      </c>
    </row>
    <row r="66" spans="1:2" x14ac:dyDescent="0.3">
      <c r="A66" t="s">
        <v>557</v>
      </c>
      <c r="B66" t="s">
        <v>2745</v>
      </c>
    </row>
    <row r="67" spans="1:2" x14ac:dyDescent="0.3">
      <c r="A67" t="s">
        <v>559</v>
      </c>
      <c r="B67" t="s">
        <v>2746</v>
      </c>
    </row>
    <row r="68" spans="1:2" x14ac:dyDescent="0.3">
      <c r="A68" t="s">
        <v>561</v>
      </c>
      <c r="B68" t="s">
        <v>2747</v>
      </c>
    </row>
    <row r="69" spans="1:2" x14ac:dyDescent="0.3">
      <c r="A69" t="s">
        <v>532</v>
      </c>
      <c r="B69" t="s">
        <v>2748</v>
      </c>
    </row>
    <row r="70" spans="1:2" x14ac:dyDescent="0.3">
      <c r="A70" t="s">
        <v>208</v>
      </c>
      <c r="B70" t="s">
        <v>2749</v>
      </c>
    </row>
    <row r="71" spans="1:2" x14ac:dyDescent="0.3">
      <c r="A71" t="s">
        <v>2750</v>
      </c>
      <c r="B71" t="s">
        <v>2751</v>
      </c>
    </row>
    <row r="72" spans="1:2" x14ac:dyDescent="0.3">
      <c r="A72" t="s">
        <v>717</v>
      </c>
      <c r="B72" t="s">
        <v>2752</v>
      </c>
    </row>
    <row r="73" spans="1:2" x14ac:dyDescent="0.3">
      <c r="A73" t="s">
        <v>608</v>
      </c>
      <c r="B73" t="s">
        <v>2753</v>
      </c>
    </row>
    <row r="74" spans="1:2" x14ac:dyDescent="0.3">
      <c r="A74" t="s">
        <v>196</v>
      </c>
      <c r="B74" t="s">
        <v>2754</v>
      </c>
    </row>
    <row r="75" spans="1:2" x14ac:dyDescent="0.3">
      <c r="A75" t="s">
        <v>343</v>
      </c>
      <c r="B75" t="s">
        <v>2755</v>
      </c>
    </row>
    <row r="76" spans="1:2" x14ac:dyDescent="0.3">
      <c r="A76" t="s">
        <v>604</v>
      </c>
      <c r="B76" t="s">
        <v>2756</v>
      </c>
    </row>
    <row r="77" spans="1:2" x14ac:dyDescent="0.3">
      <c r="A77" t="s">
        <v>353</v>
      </c>
      <c r="B77" t="s">
        <v>2757</v>
      </c>
    </row>
    <row r="78" spans="1:2" x14ac:dyDescent="0.3">
      <c r="A78" t="s">
        <v>769</v>
      </c>
      <c r="B78" t="s">
        <v>2758</v>
      </c>
    </row>
    <row r="79" spans="1:2" x14ac:dyDescent="0.3">
      <c r="A79" t="s">
        <v>723</v>
      </c>
      <c r="B79" t="s">
        <v>2759</v>
      </c>
    </row>
    <row r="80" spans="1:2" x14ac:dyDescent="0.3">
      <c r="A80" t="s">
        <v>761</v>
      </c>
      <c r="B80" t="s">
        <v>2760</v>
      </c>
    </row>
    <row r="81" spans="1:2" x14ac:dyDescent="0.3">
      <c r="A81" t="s">
        <v>753</v>
      </c>
      <c r="B81" t="s">
        <v>2761</v>
      </c>
    </row>
    <row r="82" spans="1:2" x14ac:dyDescent="0.3">
      <c r="A82" t="s">
        <v>666</v>
      </c>
      <c r="B82" t="s">
        <v>2762</v>
      </c>
    </row>
    <row r="83" spans="1:2" x14ac:dyDescent="0.3">
      <c r="A83" t="s">
        <v>319</v>
      </c>
      <c r="B83" t="s">
        <v>2763</v>
      </c>
    </row>
    <row r="84" spans="1:2" x14ac:dyDescent="0.3">
      <c r="A84" t="s">
        <v>100</v>
      </c>
      <c r="B84" t="s">
        <v>2764</v>
      </c>
    </row>
    <row r="85" spans="1:2" x14ac:dyDescent="0.3">
      <c r="A85" t="s">
        <v>543</v>
      </c>
      <c r="B85" t="s">
        <v>2599</v>
      </c>
    </row>
    <row r="86" spans="1:2" x14ac:dyDescent="0.3">
      <c r="A86" t="s">
        <v>1042</v>
      </c>
      <c r="B86" t="s">
        <v>2765</v>
      </c>
    </row>
    <row r="87" spans="1:2" x14ac:dyDescent="0.3">
      <c r="A87" t="s">
        <v>682</v>
      </c>
      <c r="B87" t="s">
        <v>2766</v>
      </c>
    </row>
    <row r="88" spans="1:2" x14ac:dyDescent="0.3">
      <c r="A88" t="s">
        <v>1049</v>
      </c>
      <c r="B88" t="s">
        <v>2767</v>
      </c>
    </row>
    <row r="89" spans="1:2" x14ac:dyDescent="0.3">
      <c r="A89" t="s">
        <v>154</v>
      </c>
      <c r="B89" t="s">
        <v>2717</v>
      </c>
    </row>
    <row r="90" spans="1:2" x14ac:dyDescent="0.3">
      <c r="A90" t="s">
        <v>333</v>
      </c>
      <c r="B90" t="s">
        <v>2768</v>
      </c>
    </row>
    <row r="91" spans="1:2" x14ac:dyDescent="0.3">
      <c r="A91" t="s">
        <v>26</v>
      </c>
      <c r="B91" t="s">
        <v>2769</v>
      </c>
    </row>
    <row r="92" spans="1:2" x14ac:dyDescent="0.3">
      <c r="A92" t="s">
        <v>755</v>
      </c>
      <c r="B92" t="s">
        <v>2751</v>
      </c>
    </row>
    <row r="93" spans="1:2" x14ac:dyDescent="0.3">
      <c r="A93" t="s">
        <v>530</v>
      </c>
      <c r="B93" t="s">
        <v>2770</v>
      </c>
    </row>
    <row r="94" spans="1:2" x14ac:dyDescent="0.3">
      <c r="A94" t="s">
        <v>926</v>
      </c>
      <c r="B94" t="s">
        <v>2771</v>
      </c>
    </row>
    <row r="95" spans="1:2" x14ac:dyDescent="0.3">
      <c r="A95" t="s">
        <v>966</v>
      </c>
      <c r="B95" t="s">
        <v>2772</v>
      </c>
    </row>
    <row r="96" spans="1:2" x14ac:dyDescent="0.3">
      <c r="A96" t="s">
        <v>437</v>
      </c>
      <c r="B96" t="s">
        <v>2773</v>
      </c>
    </row>
    <row r="97" spans="1:2" x14ac:dyDescent="0.3">
      <c r="A97" t="s">
        <v>771</v>
      </c>
      <c r="B97" t="s">
        <v>2774</v>
      </c>
    </row>
    <row r="98" spans="1:2" x14ac:dyDescent="0.3">
      <c r="A98" t="s">
        <v>690</v>
      </c>
      <c r="B98" t="s">
        <v>2775</v>
      </c>
    </row>
    <row r="99" spans="1:2" x14ac:dyDescent="0.3">
      <c r="A99" t="s">
        <v>595</v>
      </c>
      <c r="B99" t="s">
        <v>2776</v>
      </c>
    </row>
    <row r="100" spans="1:2" x14ac:dyDescent="0.3">
      <c r="A100" t="s">
        <v>128</v>
      </c>
      <c r="B100" t="s">
        <v>2777</v>
      </c>
    </row>
    <row r="101" spans="1:2" x14ac:dyDescent="0.3">
      <c r="A101" t="s">
        <v>579</v>
      </c>
      <c r="B101" t="s">
        <v>2778</v>
      </c>
    </row>
    <row r="102" spans="1:2" x14ac:dyDescent="0.3">
      <c r="A102" t="s">
        <v>676</v>
      </c>
      <c r="B102" t="s">
        <v>2779</v>
      </c>
    </row>
    <row r="103" spans="1:2" x14ac:dyDescent="0.3">
      <c r="A103" t="s">
        <v>651</v>
      </c>
      <c r="B103" t="s">
        <v>2780</v>
      </c>
    </row>
    <row r="104" spans="1:2" x14ac:dyDescent="0.3">
      <c r="A104" t="s">
        <v>489</v>
      </c>
      <c r="B104" t="s">
        <v>2781</v>
      </c>
    </row>
    <row r="105" spans="1:2" x14ac:dyDescent="0.3">
      <c r="A105" t="s">
        <v>467</v>
      </c>
      <c r="B105" t="s">
        <v>2782</v>
      </c>
    </row>
    <row r="106" spans="1:2" x14ac:dyDescent="0.3">
      <c r="A106" t="s">
        <v>922</v>
      </c>
      <c r="B106" t="s">
        <v>2783</v>
      </c>
    </row>
    <row r="107" spans="1:2" x14ac:dyDescent="0.3">
      <c r="A107" t="s">
        <v>545</v>
      </c>
      <c r="B107" t="s">
        <v>2784</v>
      </c>
    </row>
    <row r="108" spans="1:2" x14ac:dyDescent="0.3">
      <c r="A108" t="s">
        <v>878</v>
      </c>
      <c r="B108" t="s">
        <v>2785</v>
      </c>
    </row>
    <row r="109" spans="1:2" x14ac:dyDescent="0.3">
      <c r="A109" t="s">
        <v>678</v>
      </c>
      <c r="B109" t="s">
        <v>2786</v>
      </c>
    </row>
    <row r="110" spans="1:2" x14ac:dyDescent="0.3">
      <c r="A110" t="s">
        <v>182</v>
      </c>
      <c r="B110" t="s">
        <v>2787</v>
      </c>
    </row>
    <row r="111" spans="1:2" x14ac:dyDescent="0.3">
      <c r="A111" t="s">
        <v>662</v>
      </c>
      <c r="B111" t="s">
        <v>2788</v>
      </c>
    </row>
    <row r="112" spans="1:2" x14ac:dyDescent="0.3">
      <c r="A112" t="s">
        <v>867</v>
      </c>
      <c r="B112" t="s">
        <v>2789</v>
      </c>
    </row>
    <row r="113" spans="1:2" x14ac:dyDescent="0.3">
      <c r="A113" t="s">
        <v>327</v>
      </c>
      <c r="B113" t="s">
        <v>2790</v>
      </c>
    </row>
    <row r="114" spans="1:2" x14ac:dyDescent="0.3">
      <c r="A114" t="s">
        <v>587</v>
      </c>
      <c r="B114" t="s">
        <v>2791</v>
      </c>
    </row>
    <row r="115" spans="1:2" x14ac:dyDescent="0.3">
      <c r="A115" t="s">
        <v>725</v>
      </c>
      <c r="B115" t="s">
        <v>2792</v>
      </c>
    </row>
    <row r="116" spans="1:2" x14ac:dyDescent="0.3">
      <c r="A116" t="s">
        <v>989</v>
      </c>
      <c r="B116" t="s">
        <v>2793</v>
      </c>
    </row>
    <row r="117" spans="1:2" x14ac:dyDescent="0.3">
      <c r="A117" t="s">
        <v>791</v>
      </c>
      <c r="B117" t="s">
        <v>2794</v>
      </c>
    </row>
    <row r="118" spans="1:2" x14ac:dyDescent="0.3">
      <c r="A118" t="s">
        <v>995</v>
      </c>
      <c r="B118" t="s">
        <v>2795</v>
      </c>
    </row>
    <row r="119" spans="1:2" x14ac:dyDescent="0.3">
      <c r="A119" t="s">
        <v>713</v>
      </c>
      <c r="B119" t="s">
        <v>2796</v>
      </c>
    </row>
    <row r="120" spans="1:2" x14ac:dyDescent="0.3">
      <c r="A120" t="s">
        <v>108</v>
      </c>
      <c r="B120" t="s">
        <v>2797</v>
      </c>
    </row>
    <row r="121" spans="1:2" x14ac:dyDescent="0.3">
      <c r="A121" t="s">
        <v>393</v>
      </c>
      <c r="B121" t="s">
        <v>2798</v>
      </c>
    </row>
    <row r="122" spans="1:2" x14ac:dyDescent="0.3">
      <c r="A122" t="s">
        <v>637</v>
      </c>
      <c r="B122" t="s">
        <v>2799</v>
      </c>
    </row>
    <row r="123" spans="1:2" x14ac:dyDescent="0.3">
      <c r="A123" t="s">
        <v>405</v>
      </c>
      <c r="B123" t="s">
        <v>2800</v>
      </c>
    </row>
    <row r="124" spans="1:2" x14ac:dyDescent="0.3">
      <c r="A124" t="s">
        <v>375</v>
      </c>
      <c r="B124" t="s">
        <v>2801</v>
      </c>
    </row>
    <row r="125" spans="1:2" x14ac:dyDescent="0.3">
      <c r="A125" t="s">
        <v>323</v>
      </c>
      <c r="B125" t="s">
        <v>2802</v>
      </c>
    </row>
    <row r="126" spans="1:2" x14ac:dyDescent="0.3">
      <c r="A126" t="s">
        <v>956</v>
      </c>
      <c r="B126" t="s">
        <v>2803</v>
      </c>
    </row>
    <row r="127" spans="1:2" x14ac:dyDescent="0.3">
      <c r="A127" t="s">
        <v>459</v>
      </c>
      <c r="B127" t="s">
        <v>2804</v>
      </c>
    </row>
    <row r="128" spans="1:2" x14ac:dyDescent="0.3">
      <c r="A128" t="s">
        <v>120</v>
      </c>
      <c r="B128" t="s">
        <v>2805</v>
      </c>
    </row>
    <row r="129" spans="1:2" x14ac:dyDescent="0.3">
      <c r="A129" t="s">
        <v>1009</v>
      </c>
      <c r="B129" t="s">
        <v>2806</v>
      </c>
    </row>
    <row r="130" spans="1:2" x14ac:dyDescent="0.3">
      <c r="A130" t="s">
        <v>204</v>
      </c>
      <c r="B130" t="s">
        <v>2807</v>
      </c>
    </row>
    <row r="131" spans="1:2" x14ac:dyDescent="0.3">
      <c r="A131" t="s">
        <v>1007</v>
      </c>
      <c r="B131" t="s">
        <v>2808</v>
      </c>
    </row>
    <row r="132" spans="1:2" x14ac:dyDescent="0.3">
      <c r="A132" t="s">
        <v>612</v>
      </c>
      <c r="B132" t="s">
        <v>2809</v>
      </c>
    </row>
    <row r="133" spans="1:2" x14ac:dyDescent="0.3">
      <c r="A133" t="s">
        <v>16</v>
      </c>
      <c r="B133" t="s">
        <v>2810</v>
      </c>
    </row>
    <row r="134" spans="1:2" x14ac:dyDescent="0.3">
      <c r="A134" t="s">
        <v>218</v>
      </c>
      <c r="B134" t="s">
        <v>2811</v>
      </c>
    </row>
    <row r="135" spans="1:2" x14ac:dyDescent="0.3">
      <c r="A135" t="s">
        <v>575</v>
      </c>
      <c r="B135" t="s">
        <v>2812</v>
      </c>
    </row>
    <row r="136" spans="1:2" x14ac:dyDescent="0.3">
      <c r="A136" t="s">
        <v>64</v>
      </c>
      <c r="B136" t="s">
        <v>2813</v>
      </c>
    </row>
    <row r="137" spans="1:2" x14ac:dyDescent="0.3">
      <c r="A137" t="s">
        <v>626</v>
      </c>
      <c r="B137" t="s">
        <v>2814</v>
      </c>
    </row>
    <row r="138" spans="1:2" x14ac:dyDescent="0.3">
      <c r="A138" t="s">
        <v>190</v>
      </c>
      <c r="B138" t="s">
        <v>2815</v>
      </c>
    </row>
    <row r="139" spans="1:2" x14ac:dyDescent="0.3">
      <c r="A139" t="s">
        <v>1036</v>
      </c>
      <c r="B139" t="s">
        <v>2816</v>
      </c>
    </row>
    <row r="140" spans="1:2" x14ac:dyDescent="0.3">
      <c r="A140" t="s">
        <v>882</v>
      </c>
      <c r="B140" t="s">
        <v>2817</v>
      </c>
    </row>
    <row r="141" spans="1:2" x14ac:dyDescent="0.3">
      <c r="A141" t="s">
        <v>793</v>
      </c>
      <c r="B141" t="s">
        <v>2818</v>
      </c>
    </row>
    <row r="142" spans="1:2" x14ac:dyDescent="0.3">
      <c r="A142" t="s">
        <v>880</v>
      </c>
      <c r="B142" t="s">
        <v>2817</v>
      </c>
    </row>
    <row r="143" spans="1:2" x14ac:dyDescent="0.3">
      <c r="A143" t="s">
        <v>1011</v>
      </c>
      <c r="B143" t="s">
        <v>2819</v>
      </c>
    </row>
    <row r="144" spans="1:2" x14ac:dyDescent="0.3">
      <c r="A144" t="s">
        <v>212</v>
      </c>
      <c r="B144" t="s">
        <v>2820</v>
      </c>
    </row>
    <row r="145" spans="1:2" x14ac:dyDescent="0.3">
      <c r="A145" t="s">
        <v>954</v>
      </c>
      <c r="B145" t="s">
        <v>2821</v>
      </c>
    </row>
    <row r="146" spans="1:2" x14ac:dyDescent="0.3">
      <c r="A146" t="s">
        <v>172</v>
      </c>
      <c r="B146" t="s">
        <v>2822</v>
      </c>
    </row>
    <row r="147" spans="1:2" x14ac:dyDescent="0.3">
      <c r="A147" t="s">
        <v>610</v>
      </c>
      <c r="B147" t="s">
        <v>2823</v>
      </c>
    </row>
    <row r="148" spans="1:2" x14ac:dyDescent="0.3">
      <c r="A148" t="s">
        <v>248</v>
      </c>
      <c r="B148" t="s">
        <v>2824</v>
      </c>
    </row>
    <row r="149" spans="1:2" x14ac:dyDescent="0.3">
      <c r="A149" t="s">
        <v>749</v>
      </c>
      <c r="B149" t="s">
        <v>2825</v>
      </c>
    </row>
    <row r="150" spans="1:2" x14ac:dyDescent="0.3">
      <c r="A150" t="s">
        <v>694</v>
      </c>
      <c r="B150" t="s">
        <v>2826</v>
      </c>
    </row>
    <row r="151" spans="1:2" x14ac:dyDescent="0.3">
      <c r="A151" t="s">
        <v>30</v>
      </c>
      <c r="B151" t="s">
        <v>2827</v>
      </c>
    </row>
    <row r="152" spans="1:2" x14ac:dyDescent="0.3">
      <c r="A152" t="s">
        <v>232</v>
      </c>
      <c r="B152" t="s">
        <v>2828</v>
      </c>
    </row>
    <row r="153" spans="1:2" x14ac:dyDescent="0.3">
      <c r="A153" t="s">
        <v>506</v>
      </c>
      <c r="B153" t="s">
        <v>2829</v>
      </c>
    </row>
    <row r="154" spans="1:2" x14ac:dyDescent="0.3">
      <c r="A154" t="s">
        <v>36</v>
      </c>
      <c r="B154" t="s">
        <v>2830</v>
      </c>
    </row>
    <row r="155" spans="1:2" x14ac:dyDescent="0.3">
      <c r="A155" t="s">
        <v>451</v>
      </c>
      <c r="B155" t="s">
        <v>2831</v>
      </c>
    </row>
    <row r="156" spans="1:2" x14ac:dyDescent="0.3">
      <c r="A156" t="s">
        <v>174</v>
      </c>
      <c r="B156" t="s">
        <v>2832</v>
      </c>
    </row>
    <row r="157" spans="1:2" x14ac:dyDescent="0.3">
      <c r="A157" t="s">
        <v>355</v>
      </c>
      <c r="B157" t="s">
        <v>2833</v>
      </c>
    </row>
    <row r="158" spans="1:2" x14ac:dyDescent="0.3">
      <c r="A158" t="s">
        <v>2834</v>
      </c>
      <c r="B158" t="s">
        <v>2835</v>
      </c>
    </row>
    <row r="159" spans="1:2" x14ac:dyDescent="0.3">
      <c r="A159" t="s">
        <v>58</v>
      </c>
      <c r="B159" t="s">
        <v>2836</v>
      </c>
    </row>
    <row r="160" spans="1:2" x14ac:dyDescent="0.3">
      <c r="A160" t="s">
        <v>18</v>
      </c>
      <c r="B160" t="s">
        <v>2837</v>
      </c>
    </row>
    <row r="161" spans="1:2" x14ac:dyDescent="0.3">
      <c r="A161" t="s">
        <v>962</v>
      </c>
      <c r="B161" t="s">
        <v>2838</v>
      </c>
    </row>
    <row r="162" spans="1:2" x14ac:dyDescent="0.3">
      <c r="A162" t="s">
        <v>276</v>
      </c>
      <c r="B162" t="s">
        <v>2839</v>
      </c>
    </row>
    <row r="163" spans="1:2" x14ac:dyDescent="0.3">
      <c r="A163" t="s">
        <v>309</v>
      </c>
      <c r="B163" t="s">
        <v>2840</v>
      </c>
    </row>
    <row r="164" spans="1:2" x14ac:dyDescent="0.3">
      <c r="A164" t="s">
        <v>308</v>
      </c>
      <c r="B164" t="s">
        <v>2841</v>
      </c>
    </row>
    <row r="165" spans="1:2" x14ac:dyDescent="0.3">
      <c r="A165" t="s">
        <v>419</v>
      </c>
      <c r="B165" t="s">
        <v>2842</v>
      </c>
    </row>
    <row r="166" spans="1:2" x14ac:dyDescent="0.3">
      <c r="A166" t="s">
        <v>1001</v>
      </c>
      <c r="B166" t="s">
        <v>2843</v>
      </c>
    </row>
    <row r="167" spans="1:2" x14ac:dyDescent="0.3">
      <c r="A167" t="s">
        <v>124</v>
      </c>
      <c r="B167" t="s">
        <v>2844</v>
      </c>
    </row>
    <row r="168" spans="1:2" x14ac:dyDescent="0.3">
      <c r="A168" t="s">
        <v>999</v>
      </c>
      <c r="B168" t="s">
        <v>2845</v>
      </c>
    </row>
    <row r="169" spans="1:2" x14ac:dyDescent="0.3">
      <c r="A169" t="s">
        <v>302</v>
      </c>
      <c r="B169" t="s">
        <v>2846</v>
      </c>
    </row>
    <row r="170" spans="1:2" x14ac:dyDescent="0.3">
      <c r="A170" t="s">
        <v>863</v>
      </c>
      <c r="B170" t="s">
        <v>2847</v>
      </c>
    </row>
    <row r="171" spans="1:2" x14ac:dyDescent="0.3">
      <c r="A171" t="s">
        <v>997</v>
      </c>
      <c r="B171" t="s">
        <v>2848</v>
      </c>
    </row>
    <row r="172" spans="1:2" x14ac:dyDescent="0.3">
      <c r="A172" t="s">
        <v>469</v>
      </c>
      <c r="B172" t="s">
        <v>2849</v>
      </c>
    </row>
    <row r="173" spans="1:2" x14ac:dyDescent="0.3">
      <c r="A173" t="s">
        <v>643</v>
      </c>
      <c r="B173" t="s">
        <v>2850</v>
      </c>
    </row>
    <row r="174" spans="1:2" x14ac:dyDescent="0.3">
      <c r="A174" t="s">
        <v>290</v>
      </c>
      <c r="B174" t="s">
        <v>2851</v>
      </c>
    </row>
    <row r="175" spans="1:2" x14ac:dyDescent="0.3">
      <c r="A175" t="s">
        <v>569</v>
      </c>
      <c r="B175" t="s">
        <v>2852</v>
      </c>
    </row>
    <row r="176" spans="1:2" x14ac:dyDescent="0.3">
      <c r="A176" t="s">
        <v>210</v>
      </c>
      <c r="B176" t="s">
        <v>2692</v>
      </c>
    </row>
    <row r="177" spans="1:2" x14ac:dyDescent="0.3">
      <c r="A177" t="s">
        <v>282</v>
      </c>
      <c r="B177" t="s">
        <v>2853</v>
      </c>
    </row>
    <row r="178" spans="1:2" x14ac:dyDescent="0.3">
      <c r="A178" t="s">
        <v>46</v>
      </c>
      <c r="B178" t="s">
        <v>2854</v>
      </c>
    </row>
    <row r="179" spans="1:2" x14ac:dyDescent="0.3">
      <c r="A179" t="s">
        <v>528</v>
      </c>
      <c r="B179" t="s">
        <v>2855</v>
      </c>
    </row>
    <row r="180" spans="1:2" x14ac:dyDescent="0.3">
      <c r="A180" t="s">
        <v>291</v>
      </c>
      <c r="B180" t="s">
        <v>2856</v>
      </c>
    </row>
    <row r="181" spans="1:2" x14ac:dyDescent="0.3">
      <c r="A181" t="s">
        <v>274</v>
      </c>
      <c r="B181" t="s">
        <v>2857</v>
      </c>
    </row>
    <row r="182" spans="1:2" x14ac:dyDescent="0.3">
      <c r="A182" t="s">
        <v>1030</v>
      </c>
      <c r="B182" t="s">
        <v>2858</v>
      </c>
    </row>
    <row r="183" spans="1:2" x14ac:dyDescent="0.3">
      <c r="A183" t="s">
        <v>82</v>
      </c>
      <c r="B183" t="s">
        <v>2859</v>
      </c>
    </row>
    <row r="184" spans="1:2" x14ac:dyDescent="0.3">
      <c r="A184" t="s">
        <v>591</v>
      </c>
      <c r="B184" t="s">
        <v>2860</v>
      </c>
    </row>
    <row r="185" spans="1:2" x14ac:dyDescent="0.3">
      <c r="A185" t="s">
        <v>707</v>
      </c>
      <c r="B185" t="s">
        <v>2861</v>
      </c>
    </row>
    <row r="186" spans="1:2" x14ac:dyDescent="0.3">
      <c r="A186" t="s">
        <v>492</v>
      </c>
      <c r="B186" t="s">
        <v>2862</v>
      </c>
    </row>
    <row r="187" spans="1:2" x14ac:dyDescent="0.3">
      <c r="A187" t="s">
        <v>168</v>
      </c>
      <c r="B187" t="s">
        <v>2863</v>
      </c>
    </row>
    <row r="188" spans="1:2" x14ac:dyDescent="0.3">
      <c r="A188" t="s">
        <v>958</v>
      </c>
      <c r="B188" t="s">
        <v>2864</v>
      </c>
    </row>
    <row r="189" spans="1:2" x14ac:dyDescent="0.3">
      <c r="A189" t="s">
        <v>781</v>
      </c>
      <c r="B189" t="s">
        <v>2865</v>
      </c>
    </row>
    <row r="190" spans="1:2" x14ac:dyDescent="0.3">
      <c r="A190" t="s">
        <v>502</v>
      </c>
      <c r="B190" t="s">
        <v>2866</v>
      </c>
    </row>
    <row r="191" spans="1:2" x14ac:dyDescent="0.3">
      <c r="A191" t="s">
        <v>539</v>
      </c>
      <c r="B191" t="s">
        <v>2867</v>
      </c>
    </row>
    <row r="192" spans="1:2" x14ac:dyDescent="0.3">
      <c r="A192" t="s">
        <v>477</v>
      </c>
      <c r="B192" t="s">
        <v>2868</v>
      </c>
    </row>
    <row r="193" spans="1:2" x14ac:dyDescent="0.3">
      <c r="A193" t="s">
        <v>62</v>
      </c>
      <c r="B193" t="s">
        <v>2813</v>
      </c>
    </row>
    <row r="194" spans="1:2" x14ac:dyDescent="0.3">
      <c r="A194" t="s">
        <v>924</v>
      </c>
      <c r="B194" t="s">
        <v>2869</v>
      </c>
    </row>
    <row r="195" spans="1:2" x14ac:dyDescent="0.3">
      <c r="A195" t="s">
        <v>214</v>
      </c>
      <c r="B195" t="s">
        <v>2870</v>
      </c>
    </row>
    <row r="196" spans="1:2" x14ac:dyDescent="0.3">
      <c r="A196" t="s">
        <v>664</v>
      </c>
      <c r="B196" t="s">
        <v>2871</v>
      </c>
    </row>
    <row r="197" spans="1:2" x14ac:dyDescent="0.3">
      <c r="A197" t="s">
        <v>202</v>
      </c>
      <c r="B197" t="s">
        <v>2872</v>
      </c>
    </row>
    <row r="198" spans="1:2" x14ac:dyDescent="0.3">
      <c r="A198" t="s">
        <v>688</v>
      </c>
      <c r="B198" t="s">
        <v>2873</v>
      </c>
    </row>
    <row r="199" spans="1:2" x14ac:dyDescent="0.3">
      <c r="A199" t="s">
        <v>558</v>
      </c>
      <c r="B199" t="s">
        <v>2874</v>
      </c>
    </row>
    <row r="200" spans="1:2" x14ac:dyDescent="0.3">
      <c r="A200" t="s">
        <v>659</v>
      </c>
      <c r="B200" t="s">
        <v>2875</v>
      </c>
    </row>
    <row r="201" spans="1:2" x14ac:dyDescent="0.3">
      <c r="A201" t="s">
        <v>1032</v>
      </c>
      <c r="B201" t="s">
        <v>2876</v>
      </c>
    </row>
    <row r="202" spans="1:2" x14ac:dyDescent="0.3">
      <c r="A202" t="s">
        <v>629</v>
      </c>
      <c r="B202" t="s">
        <v>2877</v>
      </c>
    </row>
    <row r="203" spans="1:2" x14ac:dyDescent="0.3">
      <c r="A203" t="s">
        <v>22</v>
      </c>
      <c r="B203" t="s">
        <v>2686</v>
      </c>
    </row>
    <row r="204" spans="1:2" x14ac:dyDescent="0.3">
      <c r="A204" t="s">
        <v>1019</v>
      </c>
      <c r="B204" t="s">
        <v>2878</v>
      </c>
    </row>
    <row r="205" spans="1:2" x14ac:dyDescent="0.3">
      <c r="A205" t="s">
        <v>286</v>
      </c>
      <c r="B205" t="s">
        <v>2851</v>
      </c>
    </row>
    <row r="206" spans="1:2" x14ac:dyDescent="0.3">
      <c r="A206" t="s">
        <v>42</v>
      </c>
      <c r="B206" t="s">
        <v>2811</v>
      </c>
    </row>
    <row r="207" spans="1:2" x14ac:dyDescent="0.3">
      <c r="A207" t="s">
        <v>573</v>
      </c>
      <c r="B207" t="s">
        <v>2879</v>
      </c>
    </row>
    <row r="208" spans="1:2" x14ac:dyDescent="0.3">
      <c r="A208" t="s">
        <v>981</v>
      </c>
      <c r="B208" t="s">
        <v>2880</v>
      </c>
    </row>
    <row r="209" spans="1:2" x14ac:dyDescent="0.3">
      <c r="A209" t="s">
        <v>76</v>
      </c>
      <c r="B209" t="s">
        <v>2881</v>
      </c>
    </row>
    <row r="210" spans="1:2" x14ac:dyDescent="0.3">
      <c r="A210" t="s">
        <v>976</v>
      </c>
      <c r="B210" t="s">
        <v>2882</v>
      </c>
    </row>
    <row r="211" spans="1:2" x14ac:dyDescent="0.3">
      <c r="A211" t="s">
        <v>522</v>
      </c>
      <c r="B211" t="s">
        <v>2883</v>
      </c>
    </row>
    <row r="212" spans="1:2" x14ac:dyDescent="0.3">
      <c r="A212" t="s">
        <v>86</v>
      </c>
      <c r="B212" t="s">
        <v>2884</v>
      </c>
    </row>
    <row r="213" spans="1:2" x14ac:dyDescent="0.3">
      <c r="A213" t="s">
        <v>363</v>
      </c>
      <c r="B213" t="s">
        <v>2885</v>
      </c>
    </row>
    <row r="214" spans="1:2" x14ac:dyDescent="0.3">
      <c r="A214" t="s">
        <v>463</v>
      </c>
      <c r="B214" t="s">
        <v>2886</v>
      </c>
    </row>
    <row r="215" spans="1:2" x14ac:dyDescent="0.3">
      <c r="A215" t="s">
        <v>872</v>
      </c>
      <c r="B215" t="s">
        <v>2887</v>
      </c>
    </row>
    <row r="216" spans="1:2" x14ac:dyDescent="0.3">
      <c r="A216" t="s">
        <v>799</v>
      </c>
      <c r="B216" t="s">
        <v>2888</v>
      </c>
    </row>
    <row r="217" spans="1:2" x14ac:dyDescent="0.3">
      <c r="A217" t="s">
        <v>433</v>
      </c>
      <c r="B217" t="s">
        <v>2889</v>
      </c>
    </row>
    <row r="218" spans="1:2" x14ac:dyDescent="0.3">
      <c r="A218" t="s">
        <v>284</v>
      </c>
      <c r="B218" t="s">
        <v>2769</v>
      </c>
    </row>
    <row r="219" spans="1:2" x14ac:dyDescent="0.3">
      <c r="A219" t="s">
        <v>974</v>
      </c>
      <c r="B219" t="s">
        <v>2769</v>
      </c>
    </row>
    <row r="220" spans="1:2" x14ac:dyDescent="0.3">
      <c r="A220" t="s">
        <v>421</v>
      </c>
      <c r="B220" t="s">
        <v>2890</v>
      </c>
    </row>
    <row r="221" spans="1:2" x14ac:dyDescent="0.3">
      <c r="A221" t="s">
        <v>250</v>
      </c>
      <c r="B221" t="s">
        <v>2891</v>
      </c>
    </row>
    <row r="222" spans="1:2" x14ac:dyDescent="0.3">
      <c r="A222" t="s">
        <v>827</v>
      </c>
      <c r="B222" t="s">
        <v>2892</v>
      </c>
    </row>
    <row r="223" spans="1:2" x14ac:dyDescent="0.3">
      <c r="A223" t="s">
        <v>487</v>
      </c>
      <c r="B223" t="s">
        <v>2893</v>
      </c>
    </row>
    <row r="224" spans="1:2" x14ac:dyDescent="0.3">
      <c r="A224" t="s">
        <v>4</v>
      </c>
      <c r="B224" t="s">
        <v>2553</v>
      </c>
    </row>
    <row r="225" spans="1:2" x14ac:dyDescent="0.3">
      <c r="A225" t="s">
        <v>624</v>
      </c>
      <c r="B225" t="s">
        <v>2894</v>
      </c>
    </row>
    <row r="226" spans="1:2" x14ac:dyDescent="0.3">
      <c r="A226" t="s">
        <v>230</v>
      </c>
      <c r="B226" t="s">
        <v>2774</v>
      </c>
    </row>
    <row r="227" spans="1:2" x14ac:dyDescent="0.3">
      <c r="A227" t="s">
        <v>747</v>
      </c>
      <c r="B227" t="s">
        <v>2895</v>
      </c>
    </row>
    <row r="228" spans="1:2" x14ac:dyDescent="0.3">
      <c r="A228" t="s">
        <v>703</v>
      </c>
      <c r="B228" t="s">
        <v>2896</v>
      </c>
    </row>
    <row r="229" spans="1:2" x14ac:dyDescent="0.3">
      <c r="A229" t="s">
        <v>797</v>
      </c>
      <c r="B229" t="s">
        <v>2897</v>
      </c>
    </row>
    <row r="230" spans="1:2" x14ac:dyDescent="0.3">
      <c r="A230" t="s">
        <v>262</v>
      </c>
      <c r="B230" t="s">
        <v>2898</v>
      </c>
    </row>
    <row r="231" spans="1:2" x14ac:dyDescent="0.3">
      <c r="A231" t="s">
        <v>987</v>
      </c>
      <c r="B231" t="s">
        <v>2899</v>
      </c>
    </row>
    <row r="232" spans="1:2" x14ac:dyDescent="0.3">
      <c r="A232" t="s">
        <v>325</v>
      </c>
      <c r="B232" t="s">
        <v>2900</v>
      </c>
    </row>
    <row r="233" spans="1:2" x14ac:dyDescent="0.3">
      <c r="A233" t="s">
        <v>833</v>
      </c>
      <c r="B233" t="s">
        <v>2901</v>
      </c>
    </row>
    <row r="234" spans="1:2" x14ac:dyDescent="0.3">
      <c r="A234" t="s">
        <v>254</v>
      </c>
      <c r="B234" t="s">
        <v>2902</v>
      </c>
    </row>
    <row r="235" spans="1:2" x14ac:dyDescent="0.3">
      <c r="A235" t="s">
        <v>1046</v>
      </c>
      <c r="B235" t="s">
        <v>2903</v>
      </c>
    </row>
    <row r="236" spans="1:2" x14ac:dyDescent="0.3">
      <c r="A236" t="s">
        <v>389</v>
      </c>
      <c r="B236" t="s">
        <v>2904</v>
      </c>
    </row>
    <row r="237" spans="1:2" x14ac:dyDescent="0.3">
      <c r="A237" t="s">
        <v>300</v>
      </c>
      <c r="B237" t="s">
        <v>2905</v>
      </c>
    </row>
    <row r="238" spans="1:2" x14ac:dyDescent="0.3">
      <c r="A238" t="s">
        <v>533</v>
      </c>
      <c r="B238" t="s">
        <v>2906</v>
      </c>
    </row>
    <row r="239" spans="1:2" x14ac:dyDescent="0.3">
      <c r="A239" t="s">
        <v>387</v>
      </c>
      <c r="B239" t="s">
        <v>2907</v>
      </c>
    </row>
    <row r="240" spans="1:2" x14ac:dyDescent="0.3">
      <c r="A240" t="s">
        <v>465</v>
      </c>
      <c r="B240" t="s">
        <v>2908</v>
      </c>
    </row>
    <row r="241" spans="1:2" x14ac:dyDescent="0.3">
      <c r="A241" t="s">
        <v>373</v>
      </c>
      <c r="B241" t="s">
        <v>2909</v>
      </c>
    </row>
    <row r="242" spans="1:2" x14ac:dyDescent="0.3">
      <c r="A242" t="s">
        <v>345</v>
      </c>
      <c r="B242" t="s">
        <v>2910</v>
      </c>
    </row>
    <row r="243" spans="1:2" x14ac:dyDescent="0.3">
      <c r="A243" t="s">
        <v>357</v>
      </c>
      <c r="B243" t="s">
        <v>2911</v>
      </c>
    </row>
    <row r="244" spans="1:2" x14ac:dyDescent="0.3">
      <c r="A244" t="s">
        <v>359</v>
      </c>
      <c r="B244" t="s">
        <v>2912</v>
      </c>
    </row>
    <row r="245" spans="1:2" x14ac:dyDescent="0.3">
      <c r="A245" t="s">
        <v>134</v>
      </c>
      <c r="B245" t="s">
        <v>2913</v>
      </c>
    </row>
    <row r="246" spans="1:2" x14ac:dyDescent="0.3">
      <c r="A246" t="s">
        <v>696</v>
      </c>
      <c r="B246" t="s">
        <v>2914</v>
      </c>
    </row>
    <row r="247" spans="1:2" x14ac:dyDescent="0.3">
      <c r="A247" t="s">
        <v>2915</v>
      </c>
      <c r="B247" t="s">
        <v>2916</v>
      </c>
    </row>
    <row r="248" spans="1:2" x14ac:dyDescent="0.3">
      <c r="A248" t="s">
        <v>20</v>
      </c>
      <c r="B248" t="s">
        <v>2917</v>
      </c>
    </row>
    <row r="249" spans="1:2" x14ac:dyDescent="0.3">
      <c r="A249" t="s">
        <v>1026</v>
      </c>
      <c r="B249" t="s">
        <v>2918</v>
      </c>
    </row>
    <row r="250" spans="1:2" x14ac:dyDescent="0.3">
      <c r="A250" t="s">
        <v>668</v>
      </c>
      <c r="B250" t="s">
        <v>2919</v>
      </c>
    </row>
    <row r="251" spans="1:2" x14ac:dyDescent="0.3">
      <c r="A251" t="s">
        <v>391</v>
      </c>
      <c r="B251" t="s">
        <v>2920</v>
      </c>
    </row>
    <row r="252" spans="1:2" x14ac:dyDescent="0.3">
      <c r="A252" t="s">
        <v>620</v>
      </c>
      <c r="B252" t="s">
        <v>2921</v>
      </c>
    </row>
    <row r="253" spans="1:2" x14ac:dyDescent="0.3">
      <c r="A253" t="s">
        <v>567</v>
      </c>
      <c r="B253" t="s">
        <v>2922</v>
      </c>
    </row>
    <row r="254" spans="1:2" x14ac:dyDescent="0.3">
      <c r="A254" t="s">
        <v>970</v>
      </c>
      <c r="B254" t="s">
        <v>2923</v>
      </c>
    </row>
    <row r="255" spans="1:2" x14ac:dyDescent="0.3">
      <c r="A255" t="s">
        <v>920</v>
      </c>
      <c r="B255" t="s">
        <v>2924</v>
      </c>
    </row>
    <row r="256" spans="1:2" x14ac:dyDescent="0.3">
      <c r="A256" t="s">
        <v>918</v>
      </c>
      <c r="B256" t="s">
        <v>2925</v>
      </c>
    </row>
    <row r="257" spans="1:2" x14ac:dyDescent="0.3">
      <c r="A257" t="s">
        <v>258</v>
      </c>
      <c r="B257" t="s">
        <v>2926</v>
      </c>
    </row>
    <row r="258" spans="1:2" x14ac:dyDescent="0.3">
      <c r="A258" t="s">
        <v>916</v>
      </c>
      <c r="B258" t="s">
        <v>2927</v>
      </c>
    </row>
    <row r="259" spans="1:2" x14ac:dyDescent="0.3">
      <c r="A259" t="s">
        <v>914</v>
      </c>
      <c r="B259" t="s">
        <v>2928</v>
      </c>
    </row>
    <row r="260" spans="1:2" x14ac:dyDescent="0.3">
      <c r="A260" t="s">
        <v>993</v>
      </c>
      <c r="B260" t="s">
        <v>2929</v>
      </c>
    </row>
    <row r="261" spans="1:2" x14ac:dyDescent="0.3">
      <c r="A261" t="s">
        <v>912</v>
      </c>
      <c r="B261" t="s">
        <v>2930</v>
      </c>
    </row>
    <row r="262" spans="1:2" x14ac:dyDescent="0.3">
      <c r="A262" t="s">
        <v>80</v>
      </c>
      <c r="B262" t="s">
        <v>2931</v>
      </c>
    </row>
    <row r="263" spans="1:2" x14ac:dyDescent="0.3">
      <c r="A263" t="s">
        <v>910</v>
      </c>
      <c r="B263" t="s">
        <v>2932</v>
      </c>
    </row>
    <row r="264" spans="1:2" x14ac:dyDescent="0.3">
      <c r="A264" t="s">
        <v>130</v>
      </c>
      <c r="B264" t="s">
        <v>2933</v>
      </c>
    </row>
    <row r="265" spans="1:2" x14ac:dyDescent="0.3">
      <c r="A265" t="s">
        <v>908</v>
      </c>
      <c r="B265" t="s">
        <v>2934</v>
      </c>
    </row>
    <row r="266" spans="1:2" x14ac:dyDescent="0.3">
      <c r="A266" t="s">
        <v>347</v>
      </c>
      <c r="B266" t="s">
        <v>2935</v>
      </c>
    </row>
    <row r="267" spans="1:2" x14ac:dyDescent="0.3">
      <c r="A267" t="s">
        <v>906</v>
      </c>
      <c r="B267" t="s">
        <v>2936</v>
      </c>
    </row>
    <row r="268" spans="1:2" x14ac:dyDescent="0.3">
      <c r="A268" t="s">
        <v>904</v>
      </c>
      <c r="B268" t="s">
        <v>2937</v>
      </c>
    </row>
    <row r="269" spans="1:2" x14ac:dyDescent="0.3">
      <c r="A269" t="s">
        <v>743</v>
      </c>
      <c r="B269" t="s">
        <v>2938</v>
      </c>
    </row>
    <row r="270" spans="1:2" x14ac:dyDescent="0.3">
      <c r="A270" t="s">
        <v>789</v>
      </c>
      <c r="B270" t="s">
        <v>2939</v>
      </c>
    </row>
    <row r="271" spans="1:2" x14ac:dyDescent="0.3">
      <c r="A271" t="s">
        <v>88</v>
      </c>
      <c r="B271" t="s">
        <v>2940</v>
      </c>
    </row>
    <row r="272" spans="1:2" x14ac:dyDescent="0.3">
      <c r="A272" t="s">
        <v>589</v>
      </c>
      <c r="B272" t="s">
        <v>2941</v>
      </c>
    </row>
    <row r="273" spans="1:2" x14ac:dyDescent="0.3">
      <c r="A273" t="s">
        <v>709</v>
      </c>
      <c r="B273" t="s">
        <v>2740</v>
      </c>
    </row>
    <row r="274" spans="1:2" x14ac:dyDescent="0.3">
      <c r="A274" t="s">
        <v>876</v>
      </c>
      <c r="B274" t="s">
        <v>2878</v>
      </c>
    </row>
    <row r="275" spans="1:2" x14ac:dyDescent="0.3">
      <c r="A275" t="s">
        <v>983</v>
      </c>
      <c r="B275" t="s">
        <v>2942</v>
      </c>
    </row>
    <row r="276" spans="1:2" x14ac:dyDescent="0.3">
      <c r="A276" t="s">
        <v>24</v>
      </c>
      <c r="B276" t="s">
        <v>2853</v>
      </c>
    </row>
    <row r="277" spans="1:2" x14ac:dyDescent="0.3">
      <c r="A277" t="s">
        <v>142</v>
      </c>
      <c r="B277" t="s">
        <v>2943</v>
      </c>
    </row>
    <row r="278" spans="1:2" x14ac:dyDescent="0.3">
      <c r="A278" t="s">
        <v>50</v>
      </c>
      <c r="B278" t="s">
        <v>2823</v>
      </c>
    </row>
    <row r="279" spans="1:2" x14ac:dyDescent="0.3">
      <c r="A279" t="s">
        <v>146</v>
      </c>
      <c r="B279" t="s">
        <v>2944</v>
      </c>
    </row>
    <row r="280" spans="1:2" x14ac:dyDescent="0.3">
      <c r="A280" t="s">
        <v>498</v>
      </c>
      <c r="B280" t="s">
        <v>2945</v>
      </c>
    </row>
    <row r="281" spans="1:2" x14ac:dyDescent="0.3">
      <c r="A281" t="s">
        <v>367</v>
      </c>
      <c r="B281" t="s">
        <v>2946</v>
      </c>
    </row>
    <row r="282" spans="1:2" x14ac:dyDescent="0.3">
      <c r="A282" t="s">
        <v>940</v>
      </c>
      <c r="B282" t="s">
        <v>2947</v>
      </c>
    </row>
    <row r="283" spans="1:2" x14ac:dyDescent="0.3">
      <c r="A283" t="s">
        <v>246</v>
      </c>
      <c r="B283" t="s">
        <v>2948</v>
      </c>
    </row>
    <row r="284" spans="1:2" x14ac:dyDescent="0.3">
      <c r="A284" t="s">
        <v>198</v>
      </c>
      <c r="B284" t="s">
        <v>2949</v>
      </c>
    </row>
    <row r="285" spans="1:2" x14ac:dyDescent="0.3">
      <c r="A285" t="s">
        <v>711</v>
      </c>
      <c r="B285" t="s">
        <v>2950</v>
      </c>
    </row>
    <row r="286" spans="1:2" x14ac:dyDescent="0.3">
      <c r="A286" t="s">
        <v>655</v>
      </c>
      <c r="B286" t="s">
        <v>2951</v>
      </c>
    </row>
    <row r="287" spans="1:2" x14ac:dyDescent="0.3">
      <c r="A287" t="s">
        <v>508</v>
      </c>
      <c r="B287" t="s">
        <v>2952</v>
      </c>
    </row>
    <row r="288" spans="1:2" x14ac:dyDescent="0.3">
      <c r="A288" t="s">
        <v>563</v>
      </c>
      <c r="B288" t="s">
        <v>2953</v>
      </c>
    </row>
    <row r="289" spans="1:2" x14ac:dyDescent="0.3">
      <c r="A289" t="s">
        <v>445</v>
      </c>
      <c r="B289" t="s">
        <v>2954</v>
      </c>
    </row>
    <row r="290" spans="1:2" x14ac:dyDescent="0.3">
      <c r="A290" t="s">
        <v>455</v>
      </c>
      <c r="B290" t="s">
        <v>2955</v>
      </c>
    </row>
    <row r="291" spans="1:2" x14ac:dyDescent="0.3">
      <c r="A291" t="s">
        <v>457</v>
      </c>
      <c r="B291" t="s">
        <v>2748</v>
      </c>
    </row>
    <row r="292" spans="1:2" x14ac:dyDescent="0.3">
      <c r="A292" t="s">
        <v>731</v>
      </c>
      <c r="B292" t="s">
        <v>2956</v>
      </c>
    </row>
    <row r="293" spans="1:2" x14ac:dyDescent="0.3">
      <c r="A293" t="s">
        <v>653</v>
      </c>
      <c r="B293" t="s">
        <v>2957</v>
      </c>
    </row>
    <row r="294" spans="1:2" x14ac:dyDescent="0.3">
      <c r="A294" t="s">
        <v>395</v>
      </c>
      <c r="B294" t="s">
        <v>2958</v>
      </c>
    </row>
    <row r="295" spans="1:2" x14ac:dyDescent="0.3">
      <c r="A295" t="s">
        <v>932</v>
      </c>
      <c r="B295" t="s">
        <v>2959</v>
      </c>
    </row>
    <row r="296" spans="1:2" x14ac:dyDescent="0.3">
      <c r="A296" t="s">
        <v>138</v>
      </c>
      <c r="B296" t="s">
        <v>2960</v>
      </c>
    </row>
    <row r="297" spans="1:2" x14ac:dyDescent="0.3">
      <c r="A297" t="s">
        <v>311</v>
      </c>
      <c r="B297" t="s">
        <v>2961</v>
      </c>
    </row>
    <row r="298" spans="1:2" x14ac:dyDescent="0.3">
      <c r="A298" t="s">
        <v>313</v>
      </c>
      <c r="B298" t="s">
        <v>2962</v>
      </c>
    </row>
    <row r="299" spans="1:2" x14ac:dyDescent="0.3">
      <c r="A299" t="s">
        <v>471</v>
      </c>
      <c r="B299" t="s">
        <v>2963</v>
      </c>
    </row>
    <row r="300" spans="1:2" x14ac:dyDescent="0.3">
      <c r="A300" t="s">
        <v>104</v>
      </c>
      <c r="B300" t="s">
        <v>2964</v>
      </c>
    </row>
    <row r="301" spans="1:2" x14ac:dyDescent="0.3">
      <c r="A301" t="s">
        <v>555</v>
      </c>
      <c r="B301" t="s">
        <v>2965</v>
      </c>
    </row>
    <row r="302" spans="1:2" x14ac:dyDescent="0.3">
      <c r="A302" t="s">
        <v>701</v>
      </c>
      <c r="B302" t="s">
        <v>2966</v>
      </c>
    </row>
    <row r="303" spans="1:2" x14ac:dyDescent="0.3">
      <c r="A303" t="s">
        <v>680</v>
      </c>
      <c r="B303" t="s">
        <v>2967</v>
      </c>
    </row>
    <row r="304" spans="1:2" x14ac:dyDescent="0.3">
      <c r="A304" t="s">
        <v>132</v>
      </c>
      <c r="B304" t="s">
        <v>2933</v>
      </c>
    </row>
    <row r="305" spans="1:2" x14ac:dyDescent="0.3">
      <c r="A305" t="s">
        <v>178</v>
      </c>
      <c r="B305" t="s">
        <v>2968</v>
      </c>
    </row>
    <row r="306" spans="1:2" x14ac:dyDescent="0.3">
      <c r="A306" t="s">
        <v>40</v>
      </c>
      <c r="B306" t="s">
        <v>2969</v>
      </c>
    </row>
    <row r="307" spans="1:2" x14ac:dyDescent="0.3">
      <c r="A307" t="s">
        <v>114</v>
      </c>
      <c r="B307" t="s">
        <v>2696</v>
      </c>
    </row>
    <row r="308" spans="1:2" x14ac:dyDescent="0.3">
      <c r="A308" t="s">
        <v>240</v>
      </c>
      <c r="B308" t="s">
        <v>2970</v>
      </c>
    </row>
    <row r="309" spans="1:2" x14ac:dyDescent="0.3">
      <c r="A309" t="s">
        <v>496</v>
      </c>
      <c r="B309" t="s">
        <v>2971</v>
      </c>
    </row>
    <row r="310" spans="1:2" x14ac:dyDescent="0.3">
      <c r="A310" t="s">
        <v>160</v>
      </c>
      <c r="B310" t="s">
        <v>2972</v>
      </c>
    </row>
    <row r="311" spans="1:2" x14ac:dyDescent="0.3">
      <c r="A311" t="s">
        <v>670</v>
      </c>
      <c r="B311" t="s">
        <v>2914</v>
      </c>
    </row>
    <row r="312" spans="1:2" x14ac:dyDescent="0.3">
      <c r="A312" t="s">
        <v>292</v>
      </c>
      <c r="B312" t="s">
        <v>2973</v>
      </c>
    </row>
    <row r="313" spans="1:2" x14ac:dyDescent="0.3">
      <c r="A313" t="s">
        <v>763</v>
      </c>
      <c r="B313" t="s">
        <v>2974</v>
      </c>
    </row>
    <row r="314" spans="1:2" x14ac:dyDescent="0.3">
      <c r="A314" t="s">
        <v>361</v>
      </c>
      <c r="B314" t="s">
        <v>2975</v>
      </c>
    </row>
    <row r="315" spans="1:2" x14ac:dyDescent="0.3">
      <c r="A315" t="s">
        <v>795</v>
      </c>
      <c r="B315" t="s">
        <v>2976</v>
      </c>
    </row>
    <row r="316" spans="1:2" x14ac:dyDescent="0.3">
      <c r="A316" t="s">
        <v>837</v>
      </c>
      <c r="B316" t="s">
        <v>2977</v>
      </c>
    </row>
    <row r="317" spans="1:2" x14ac:dyDescent="0.3">
      <c r="A317" t="s">
        <v>483</v>
      </c>
      <c r="B317" t="s">
        <v>2978</v>
      </c>
    </row>
    <row r="318" spans="1:2" x14ac:dyDescent="0.3">
      <c r="A318" t="s">
        <v>779</v>
      </c>
      <c r="B318" t="s">
        <v>2979</v>
      </c>
    </row>
    <row r="319" spans="1:2" x14ac:dyDescent="0.3">
      <c r="A319" t="s">
        <v>252</v>
      </c>
      <c r="B319" t="s">
        <v>2980</v>
      </c>
    </row>
    <row r="320" spans="1:2" x14ac:dyDescent="0.3">
      <c r="A320" t="s">
        <v>807</v>
      </c>
      <c r="B320" t="s">
        <v>2981</v>
      </c>
    </row>
    <row r="321" spans="1:2" x14ac:dyDescent="0.3">
      <c r="A321" t="s">
        <v>978</v>
      </c>
      <c r="B321" t="s">
        <v>2962</v>
      </c>
    </row>
    <row r="322" spans="1:2" x14ac:dyDescent="0.3">
      <c r="A322" t="s">
        <v>56</v>
      </c>
      <c r="B322" t="s">
        <v>2853</v>
      </c>
    </row>
    <row r="323" spans="1:2" x14ac:dyDescent="0.3">
      <c r="A323" t="s">
        <v>952</v>
      </c>
      <c r="B323" t="s">
        <v>2982</v>
      </c>
    </row>
    <row r="324" spans="1:2" x14ac:dyDescent="0.3">
      <c r="A324" t="s">
        <v>264</v>
      </c>
      <c r="B324" t="s">
        <v>2983</v>
      </c>
    </row>
    <row r="325" spans="1:2" x14ac:dyDescent="0.3">
      <c r="A325" t="s">
        <v>950</v>
      </c>
      <c r="B325" t="s">
        <v>2984</v>
      </c>
    </row>
    <row r="326" spans="1:2" x14ac:dyDescent="0.3">
      <c r="A326" t="s">
        <v>415</v>
      </c>
      <c r="B326" t="s">
        <v>2985</v>
      </c>
    </row>
    <row r="327" spans="1:2" x14ac:dyDescent="0.3">
      <c r="A327" t="s">
        <v>122</v>
      </c>
      <c r="B327" t="s">
        <v>2844</v>
      </c>
    </row>
    <row r="328" spans="1:2" x14ac:dyDescent="0.3">
      <c r="A328" t="s">
        <v>381</v>
      </c>
      <c r="B328" t="s">
        <v>2875</v>
      </c>
    </row>
    <row r="329" spans="1:2" x14ac:dyDescent="0.3">
      <c r="A329" t="s">
        <v>968</v>
      </c>
      <c r="B329" t="s">
        <v>2986</v>
      </c>
    </row>
    <row r="330" spans="1:2" x14ac:dyDescent="0.3">
      <c r="A330" t="s">
        <v>819</v>
      </c>
      <c r="B330" t="s">
        <v>2987</v>
      </c>
    </row>
    <row r="331" spans="1:2" x14ac:dyDescent="0.3">
      <c r="A331" t="s">
        <v>2988</v>
      </c>
      <c r="B331" t="s">
        <v>2989</v>
      </c>
    </row>
    <row r="332" spans="1:2" x14ac:dyDescent="0.3">
      <c r="A332" t="s">
        <v>815</v>
      </c>
      <c r="B332" t="s">
        <v>2990</v>
      </c>
    </row>
    <row r="333" spans="1:2" x14ac:dyDescent="0.3">
      <c r="A333" t="s">
        <v>805</v>
      </c>
      <c r="B333" t="s">
        <v>2991</v>
      </c>
    </row>
    <row r="334" spans="1:2" x14ac:dyDescent="0.3">
      <c r="A334" t="s">
        <v>849</v>
      </c>
      <c r="B334" t="s">
        <v>2992</v>
      </c>
    </row>
    <row r="335" spans="1:2" x14ac:dyDescent="0.3">
      <c r="A335" t="s">
        <v>226</v>
      </c>
      <c r="B335" t="s">
        <v>2993</v>
      </c>
    </row>
    <row r="336" spans="1:2" x14ac:dyDescent="0.3">
      <c r="A336" t="s">
        <v>851</v>
      </c>
      <c r="B336" t="s">
        <v>2994</v>
      </c>
    </row>
    <row r="337" spans="1:2" x14ac:dyDescent="0.3">
      <c r="A337" t="s">
        <v>349</v>
      </c>
      <c r="B337" t="s">
        <v>2995</v>
      </c>
    </row>
    <row r="338" spans="1:2" x14ac:dyDescent="0.3">
      <c r="A338" t="s">
        <v>777</v>
      </c>
      <c r="B338" t="s">
        <v>2996</v>
      </c>
    </row>
    <row r="339" spans="1:2" x14ac:dyDescent="0.3">
      <c r="A339" t="s">
        <v>1018</v>
      </c>
      <c r="B339" t="s">
        <v>2997</v>
      </c>
    </row>
    <row r="340" spans="1:2" x14ac:dyDescent="0.3">
      <c r="A340" t="s">
        <v>118</v>
      </c>
      <c r="B340" t="s">
        <v>2805</v>
      </c>
    </row>
    <row r="341" spans="1:2" x14ac:dyDescent="0.3">
      <c r="A341" t="s">
        <v>823</v>
      </c>
      <c r="B341" t="s">
        <v>2998</v>
      </c>
    </row>
    <row r="342" spans="1:2" x14ac:dyDescent="0.3">
      <c r="A342" t="s">
        <v>745</v>
      </c>
      <c r="B342" t="s">
        <v>2686</v>
      </c>
    </row>
    <row r="343" spans="1:2" x14ac:dyDescent="0.3">
      <c r="A343" t="s">
        <v>577</v>
      </c>
      <c r="B343" t="s">
        <v>2999</v>
      </c>
    </row>
    <row r="344" spans="1:2" x14ac:dyDescent="0.3">
      <c r="A344" t="s">
        <v>84</v>
      </c>
      <c r="B344" t="s">
        <v>3000</v>
      </c>
    </row>
    <row r="345" spans="1:2" x14ac:dyDescent="0.3">
      <c r="A345" t="s">
        <v>1038</v>
      </c>
      <c r="B345" t="s">
        <v>3001</v>
      </c>
    </row>
    <row r="346" spans="1:2" x14ac:dyDescent="0.3">
      <c r="A346" t="s">
        <v>244</v>
      </c>
      <c r="B346" t="s">
        <v>3002</v>
      </c>
    </row>
    <row r="347" spans="1:2" x14ac:dyDescent="0.3">
      <c r="A347" t="s">
        <v>618</v>
      </c>
      <c r="B347" t="s">
        <v>3003</v>
      </c>
    </row>
    <row r="348" spans="1:2" x14ac:dyDescent="0.3">
      <c r="A348" t="s">
        <v>304</v>
      </c>
      <c r="B348" t="s">
        <v>3004</v>
      </c>
    </row>
    <row r="349" spans="1:2" x14ac:dyDescent="0.3">
      <c r="A349" t="s">
        <v>647</v>
      </c>
      <c r="B349" t="s">
        <v>2686</v>
      </c>
    </row>
    <row r="350" spans="1:2" x14ac:dyDescent="0.3">
      <c r="A350" t="s">
        <v>1005</v>
      </c>
      <c r="B350" t="s">
        <v>3005</v>
      </c>
    </row>
    <row r="351" spans="1:2" x14ac:dyDescent="0.3">
      <c r="A351" t="s">
        <v>110</v>
      </c>
      <c r="B351" t="s">
        <v>3006</v>
      </c>
    </row>
    <row r="352" spans="1:2" x14ac:dyDescent="0.3">
      <c r="A352" t="s">
        <v>861</v>
      </c>
      <c r="B352" t="s">
        <v>3007</v>
      </c>
    </row>
    <row r="353" spans="1:2" x14ac:dyDescent="0.3">
      <c r="A353" t="s">
        <v>729</v>
      </c>
      <c r="B353" t="s">
        <v>3008</v>
      </c>
    </row>
    <row r="354" spans="1:2" x14ac:dyDescent="0.3">
      <c r="A354" t="s">
        <v>68</v>
      </c>
      <c r="B354" t="s">
        <v>3009</v>
      </c>
    </row>
    <row r="355" spans="1:2" x14ac:dyDescent="0.3">
      <c r="A355" t="s">
        <v>622</v>
      </c>
      <c r="B355" t="s">
        <v>3010</v>
      </c>
    </row>
    <row r="356" spans="1:2" x14ac:dyDescent="0.3">
      <c r="A356" t="s">
        <v>447</v>
      </c>
      <c r="B356" t="s">
        <v>3011</v>
      </c>
    </row>
    <row r="357" spans="1:2" x14ac:dyDescent="0.3">
      <c r="A357" t="s">
        <v>641</v>
      </c>
      <c r="B357" t="s">
        <v>3012</v>
      </c>
    </row>
    <row r="358" spans="1:2" x14ac:dyDescent="0.3">
      <c r="A358" t="s">
        <v>379</v>
      </c>
      <c r="B358" t="s">
        <v>3013</v>
      </c>
    </row>
    <row r="359" spans="1:2" x14ac:dyDescent="0.3">
      <c r="A359" t="s">
        <v>874</v>
      </c>
      <c r="B359" t="s">
        <v>2997</v>
      </c>
    </row>
    <row r="360" spans="1:2" x14ac:dyDescent="0.3">
      <c r="A360" t="s">
        <v>660</v>
      </c>
      <c r="B360" t="s">
        <v>3014</v>
      </c>
    </row>
    <row r="361" spans="1:2" x14ac:dyDescent="0.3">
      <c r="A361" t="s">
        <v>72</v>
      </c>
      <c r="B361" t="s">
        <v>3015</v>
      </c>
    </row>
    <row r="362" spans="1:2" x14ac:dyDescent="0.3">
      <c r="A362" t="s">
        <v>859</v>
      </c>
      <c r="B362" t="s">
        <v>3016</v>
      </c>
    </row>
    <row r="363" spans="1:2" x14ac:dyDescent="0.3">
      <c r="A363" t="s">
        <v>719</v>
      </c>
      <c r="B363" t="s">
        <v>3017</v>
      </c>
    </row>
    <row r="364" spans="1:2" x14ac:dyDescent="0.3">
      <c r="A364" t="s">
        <v>585</v>
      </c>
      <c r="B364" t="s">
        <v>3018</v>
      </c>
    </row>
    <row r="365" spans="1:2" x14ac:dyDescent="0.3">
      <c r="A365" t="s">
        <v>565</v>
      </c>
      <c r="B365" t="s">
        <v>3019</v>
      </c>
    </row>
    <row r="366" spans="1:2" x14ac:dyDescent="0.3">
      <c r="A366" t="s">
        <v>500</v>
      </c>
      <c r="B366" t="s">
        <v>3020</v>
      </c>
    </row>
    <row r="367" spans="1:2" x14ac:dyDescent="0.3">
      <c r="A367" t="s">
        <v>166</v>
      </c>
      <c r="B367" t="s">
        <v>2726</v>
      </c>
    </row>
    <row r="368" spans="1:2" x14ac:dyDescent="0.3">
      <c r="A368" t="s">
        <v>606</v>
      </c>
      <c r="B368" t="s">
        <v>3021</v>
      </c>
    </row>
    <row r="369" spans="1:2" x14ac:dyDescent="0.3">
      <c r="A369" t="s">
        <v>417</v>
      </c>
      <c r="B369" t="s">
        <v>3022</v>
      </c>
    </row>
    <row r="370" spans="1:2" x14ac:dyDescent="0.3">
      <c r="A370" t="s">
        <v>294</v>
      </c>
      <c r="B370" t="s">
        <v>3023</v>
      </c>
    </row>
    <row r="371" spans="1:2" x14ac:dyDescent="0.3">
      <c r="A371" t="s">
        <v>383</v>
      </c>
      <c r="B371" t="s">
        <v>3024</v>
      </c>
    </row>
    <row r="372" spans="1:2" x14ac:dyDescent="0.3">
      <c r="A372" t="s">
        <v>674</v>
      </c>
      <c r="B372" t="s">
        <v>3025</v>
      </c>
    </row>
    <row r="373" spans="1:2" x14ac:dyDescent="0.3">
      <c r="A373" t="s">
        <v>216</v>
      </c>
      <c r="B373" t="s">
        <v>3026</v>
      </c>
    </row>
    <row r="374" spans="1:2" x14ac:dyDescent="0.3">
      <c r="A374" t="s">
        <v>3027</v>
      </c>
      <c r="B374" t="s">
        <v>3028</v>
      </c>
    </row>
    <row r="375" spans="1:2" x14ac:dyDescent="0.3">
      <c r="A375" t="s">
        <v>329</v>
      </c>
      <c r="B375" t="s">
        <v>3029</v>
      </c>
    </row>
    <row r="376" spans="1:2" x14ac:dyDescent="0.3">
      <c r="A376" t="s">
        <v>98</v>
      </c>
      <c r="B376" t="s">
        <v>2764</v>
      </c>
    </row>
    <row r="377" spans="1:2" x14ac:dyDescent="0.3">
      <c r="A377" t="s">
        <v>90</v>
      </c>
      <c r="B377" t="s">
        <v>3030</v>
      </c>
    </row>
    <row r="378" spans="1:2" x14ac:dyDescent="0.3">
      <c r="A378" t="s">
        <v>551</v>
      </c>
      <c r="B378" t="s">
        <v>3031</v>
      </c>
    </row>
    <row r="379" spans="1:2" x14ac:dyDescent="0.3">
      <c r="A379" t="s">
        <v>1013</v>
      </c>
      <c r="B379" t="s">
        <v>2887</v>
      </c>
    </row>
    <row r="380" spans="1:2" x14ac:dyDescent="0.3">
      <c r="A380" t="s">
        <v>938</v>
      </c>
      <c r="B380" t="s">
        <v>3032</v>
      </c>
    </row>
    <row r="381" spans="1:2" x14ac:dyDescent="0.3">
      <c r="A381" t="s">
        <v>549</v>
      </c>
      <c r="B381" t="s">
        <v>3033</v>
      </c>
    </row>
    <row r="382" spans="1:2" x14ac:dyDescent="0.3">
      <c r="A382" t="s">
        <v>317</v>
      </c>
      <c r="B382" t="s">
        <v>3034</v>
      </c>
    </row>
    <row r="383" spans="1:2" x14ac:dyDescent="0.3">
      <c r="A383" t="s">
        <v>964</v>
      </c>
      <c r="B383" t="s">
        <v>3035</v>
      </c>
    </row>
    <row r="384" spans="1:2" x14ac:dyDescent="0.3">
      <c r="A384" t="s">
        <v>48</v>
      </c>
      <c r="B384" t="s">
        <v>3036</v>
      </c>
    </row>
    <row r="385" spans="1:2" x14ac:dyDescent="0.3">
      <c r="A385" t="s">
        <v>811</v>
      </c>
      <c r="B385" t="s">
        <v>2991</v>
      </c>
    </row>
    <row r="386" spans="1:2" x14ac:dyDescent="0.3">
      <c r="A386" t="s">
        <v>162</v>
      </c>
      <c r="B386" t="s">
        <v>2972</v>
      </c>
    </row>
    <row r="387" spans="1:2" x14ac:dyDescent="0.3">
      <c r="A387" t="s">
        <v>3037</v>
      </c>
    </row>
    <row r="388" spans="1:2" x14ac:dyDescent="0.3">
      <c r="A388" t="s">
        <v>616</v>
      </c>
      <c r="B388" t="s">
        <v>3038</v>
      </c>
    </row>
    <row r="389" spans="1:2" x14ac:dyDescent="0.3">
      <c r="A389" t="s">
        <v>751</v>
      </c>
      <c r="B389" t="s">
        <v>3039</v>
      </c>
    </row>
    <row r="390" spans="1:2" x14ac:dyDescent="0.3">
      <c r="A390" t="s">
        <v>692</v>
      </c>
      <c r="B390" t="s">
        <v>3040</v>
      </c>
    </row>
    <row r="391" spans="1:2" x14ac:dyDescent="0.3">
      <c r="A391" t="s">
        <v>972</v>
      </c>
      <c r="B391" t="s">
        <v>2853</v>
      </c>
    </row>
    <row r="392" spans="1:2" x14ac:dyDescent="0.3">
      <c r="A392" t="s">
        <v>715</v>
      </c>
      <c r="B392" t="s">
        <v>3041</v>
      </c>
    </row>
    <row r="393" spans="1:2" x14ac:dyDescent="0.3">
      <c r="A393" t="s">
        <v>242</v>
      </c>
      <c r="B393" t="s">
        <v>3042</v>
      </c>
    </row>
    <row r="394" spans="1:2" x14ac:dyDescent="0.3">
      <c r="A394" t="s">
        <v>106</v>
      </c>
      <c r="B394" t="s">
        <v>2797</v>
      </c>
    </row>
    <row r="395" spans="1:2" x14ac:dyDescent="0.3">
      <c r="A395" t="s">
        <v>365</v>
      </c>
      <c r="B395" t="s">
        <v>3043</v>
      </c>
    </row>
    <row r="396" spans="1:2" x14ac:dyDescent="0.3">
      <c r="A396" t="s">
        <v>126</v>
      </c>
      <c r="B396" t="s">
        <v>2777</v>
      </c>
    </row>
    <row r="397" spans="1:2" x14ac:dyDescent="0.3">
      <c r="A397" t="s">
        <v>206</v>
      </c>
      <c r="B397" t="s">
        <v>3044</v>
      </c>
    </row>
    <row r="398" spans="1:2" x14ac:dyDescent="0.3">
      <c r="A398" t="s">
        <v>813</v>
      </c>
      <c r="B398" t="s">
        <v>3045</v>
      </c>
    </row>
    <row r="399" spans="1:2" x14ac:dyDescent="0.3">
      <c r="A399" t="s">
        <v>339</v>
      </c>
      <c r="B399" t="s">
        <v>3046</v>
      </c>
    </row>
    <row r="400" spans="1:2" x14ac:dyDescent="0.3">
      <c r="A400" t="s">
        <v>1003</v>
      </c>
      <c r="B400" t="s">
        <v>3047</v>
      </c>
    </row>
    <row r="401" spans="1:2" x14ac:dyDescent="0.3">
      <c r="A401" t="s">
        <v>512</v>
      </c>
      <c r="B401" t="s">
        <v>3048</v>
      </c>
    </row>
    <row r="402" spans="1:2" x14ac:dyDescent="0.3">
      <c r="A402" t="s">
        <v>170</v>
      </c>
      <c r="B402" t="s">
        <v>3049</v>
      </c>
    </row>
    <row r="403" spans="1:2" x14ac:dyDescent="0.3">
      <c r="A403" t="s">
        <v>514</v>
      </c>
      <c r="B403" t="s">
        <v>3050</v>
      </c>
    </row>
    <row r="404" spans="1:2" x14ac:dyDescent="0.3">
      <c r="A404" t="s">
        <v>409</v>
      </c>
      <c r="B404" t="s">
        <v>3051</v>
      </c>
    </row>
    <row r="405" spans="1:2" x14ac:dyDescent="0.3">
      <c r="A405" t="s">
        <v>278</v>
      </c>
      <c r="B405" t="s">
        <v>3052</v>
      </c>
    </row>
    <row r="406" spans="1:2" x14ac:dyDescent="0.3">
      <c r="A406" t="s">
        <v>855</v>
      </c>
      <c r="B406" t="s">
        <v>2724</v>
      </c>
    </row>
    <row r="407" spans="1:2" x14ac:dyDescent="0.3">
      <c r="A407" t="s">
        <v>337</v>
      </c>
      <c r="B407" t="s">
        <v>3053</v>
      </c>
    </row>
    <row r="408" spans="1:2" x14ac:dyDescent="0.3">
      <c r="A408" t="s">
        <v>228</v>
      </c>
      <c r="B408" t="s">
        <v>3054</v>
      </c>
    </row>
    <row r="409" spans="1:2" x14ac:dyDescent="0.3">
      <c r="A409" t="s">
        <v>256</v>
      </c>
      <c r="B409" t="s">
        <v>3055</v>
      </c>
    </row>
    <row r="410" spans="1:2" x14ac:dyDescent="0.3">
      <c r="A410" t="s">
        <v>1028</v>
      </c>
      <c r="B410" t="s">
        <v>3056</v>
      </c>
    </row>
    <row r="411" spans="1:2" x14ac:dyDescent="0.3">
      <c r="A411" t="s">
        <v>288</v>
      </c>
      <c r="B411" t="s">
        <v>2856</v>
      </c>
    </row>
    <row r="412" spans="1:2" x14ac:dyDescent="0.3">
      <c r="A412" t="s">
        <v>735</v>
      </c>
      <c r="B412" t="s">
        <v>2707</v>
      </c>
    </row>
    <row r="413" spans="1:2" x14ac:dyDescent="0.3">
      <c r="A413" t="s">
        <v>657</v>
      </c>
      <c r="B413" t="s">
        <v>3057</v>
      </c>
    </row>
    <row r="414" spans="1:2" x14ac:dyDescent="0.3">
      <c r="A414" t="s">
        <v>599</v>
      </c>
      <c r="B414" t="s">
        <v>3031</v>
      </c>
    </row>
    <row r="415" spans="1:2" x14ac:dyDescent="0.3">
      <c r="A415" t="s">
        <v>140</v>
      </c>
      <c r="B415" t="s">
        <v>2943</v>
      </c>
    </row>
    <row r="416" spans="1:2" x14ac:dyDescent="0.3">
      <c r="A416" t="s">
        <v>435</v>
      </c>
      <c r="B416" t="s">
        <v>3058</v>
      </c>
    </row>
    <row r="417" spans="1:2" x14ac:dyDescent="0.3">
      <c r="A417" t="s">
        <v>220</v>
      </c>
      <c r="B417" t="s">
        <v>3059</v>
      </c>
    </row>
    <row r="418" spans="1:2" x14ac:dyDescent="0.3">
      <c r="A418" t="s">
        <v>407</v>
      </c>
      <c r="B418" t="s">
        <v>3060</v>
      </c>
    </row>
    <row r="419" spans="1:2" x14ac:dyDescent="0.3">
      <c r="A419" t="s">
        <v>504</v>
      </c>
      <c r="B419" t="s">
        <v>3061</v>
      </c>
    </row>
    <row r="420" spans="1:2" x14ac:dyDescent="0.3">
      <c r="A420" t="s">
        <v>413</v>
      </c>
      <c r="B420" t="s">
        <v>3062</v>
      </c>
    </row>
    <row r="421" spans="1:2" x14ac:dyDescent="0.3">
      <c r="A421" t="s">
        <v>602</v>
      </c>
      <c r="B421" t="s">
        <v>3063</v>
      </c>
    </row>
    <row r="422" spans="1:2" x14ac:dyDescent="0.3">
      <c r="A422" t="s">
        <v>306</v>
      </c>
      <c r="B422" t="s">
        <v>3064</v>
      </c>
    </row>
    <row r="423" spans="1:2" x14ac:dyDescent="0.3">
      <c r="A423" t="s">
        <v>188</v>
      </c>
      <c r="B423" t="s">
        <v>3065</v>
      </c>
    </row>
    <row r="424" spans="1:2" x14ac:dyDescent="0.3">
      <c r="A424" t="s">
        <v>369</v>
      </c>
      <c r="B424" t="s">
        <v>3066</v>
      </c>
    </row>
    <row r="425" spans="1:2" x14ac:dyDescent="0.3">
      <c r="A425" t="s">
        <v>847</v>
      </c>
      <c r="B425" t="s">
        <v>3067</v>
      </c>
    </row>
    <row r="426" spans="1:2" x14ac:dyDescent="0.3">
      <c r="A426" t="s">
        <v>377</v>
      </c>
      <c r="B426" t="s">
        <v>3068</v>
      </c>
    </row>
    <row r="427" spans="1:2" x14ac:dyDescent="0.3">
      <c r="A427" t="s">
        <v>150</v>
      </c>
      <c r="B427" t="s">
        <v>2713</v>
      </c>
    </row>
    <row r="428" spans="1:2" x14ac:dyDescent="0.3">
      <c r="A428" t="s">
        <v>222</v>
      </c>
      <c r="B428" t="s">
        <v>3069</v>
      </c>
    </row>
    <row r="429" spans="1:2" x14ac:dyDescent="0.3">
      <c r="A429" t="s">
        <v>841</v>
      </c>
      <c r="B429" t="s">
        <v>3070</v>
      </c>
    </row>
    <row r="430" spans="1:2" x14ac:dyDescent="0.3">
      <c r="A430" t="s">
        <v>985</v>
      </c>
      <c r="B430" t="s">
        <v>3071</v>
      </c>
    </row>
    <row r="431" spans="1:2" x14ac:dyDescent="0.3">
      <c r="A431" t="s">
        <v>431</v>
      </c>
      <c r="B431" t="s">
        <v>3072</v>
      </c>
    </row>
    <row r="432" spans="1:2" x14ac:dyDescent="0.3">
      <c r="A432" t="s">
        <v>526</v>
      </c>
      <c r="B432" t="s">
        <v>3073</v>
      </c>
    </row>
    <row r="433" spans="1:2" x14ac:dyDescent="0.3">
      <c r="A433" t="s">
        <v>156</v>
      </c>
      <c r="B433" t="s">
        <v>3074</v>
      </c>
    </row>
    <row r="434" spans="1:2" x14ac:dyDescent="0.3">
      <c r="A434" t="s">
        <v>593</v>
      </c>
      <c r="B434" t="s">
        <v>3075</v>
      </c>
    </row>
    <row r="435" spans="1:2" x14ac:dyDescent="0.3">
      <c r="A435" t="s">
        <v>518</v>
      </c>
      <c r="B435" t="s">
        <v>3076</v>
      </c>
    </row>
    <row r="436" spans="1:2" x14ac:dyDescent="0.3">
      <c r="A436" t="s">
        <v>485</v>
      </c>
      <c r="B436" t="s">
        <v>3077</v>
      </c>
    </row>
    <row r="437" spans="1:2" x14ac:dyDescent="0.3">
      <c r="A437" t="s">
        <v>268</v>
      </c>
      <c r="B437" t="s">
        <v>3078</v>
      </c>
    </row>
    <row r="438" spans="1:2" x14ac:dyDescent="0.3">
      <c r="A438" t="s">
        <v>930</v>
      </c>
      <c r="B438" t="s">
        <v>3079</v>
      </c>
    </row>
    <row r="439" spans="1:2" x14ac:dyDescent="0.3">
      <c r="A439" t="s">
        <v>510</v>
      </c>
      <c r="B439" t="s">
        <v>3080</v>
      </c>
    </row>
    <row r="440" spans="1:2" x14ac:dyDescent="0.3">
      <c r="A440" t="s">
        <v>1014</v>
      </c>
      <c r="B440" t="s">
        <v>3081</v>
      </c>
    </row>
    <row r="441" spans="1:2" x14ac:dyDescent="0.3">
      <c r="A441" t="s">
        <v>67</v>
      </c>
      <c r="B441" t="s">
        <v>3082</v>
      </c>
    </row>
    <row r="442" spans="1:2" x14ac:dyDescent="0.3">
      <c r="A442" t="s">
        <v>1040</v>
      </c>
      <c r="B442" t="s">
        <v>3083</v>
      </c>
    </row>
    <row r="443" spans="1:2" x14ac:dyDescent="0.3">
      <c r="A443" t="s">
        <v>78</v>
      </c>
      <c r="B443" t="s">
        <v>2585</v>
      </c>
    </row>
    <row r="444" spans="1:2" x14ac:dyDescent="0.3">
      <c r="A444" t="s">
        <v>144</v>
      </c>
      <c r="B444" t="s">
        <v>2944</v>
      </c>
    </row>
    <row r="445" spans="1:2" x14ac:dyDescent="0.3">
      <c r="A445" t="s">
        <v>425</v>
      </c>
      <c r="B445" t="s">
        <v>2859</v>
      </c>
    </row>
    <row r="446" spans="1:2" x14ac:dyDescent="0.3">
      <c r="A446" t="s">
        <v>979</v>
      </c>
      <c r="B446" t="s">
        <v>3084</v>
      </c>
    </row>
    <row r="447" spans="1:2" x14ac:dyDescent="0.3">
      <c r="A447" t="s">
        <v>737</v>
      </c>
      <c r="B447" t="s">
        <v>3085</v>
      </c>
    </row>
    <row r="448" spans="1:2" x14ac:dyDescent="0.3">
      <c r="A448" t="s">
        <v>524</v>
      </c>
      <c r="B448" t="s">
        <v>3086</v>
      </c>
    </row>
    <row r="449" spans="1:2" x14ac:dyDescent="0.3">
      <c r="A449" t="s">
        <v>865</v>
      </c>
      <c r="B449" t="s">
        <v>3087</v>
      </c>
    </row>
    <row r="450" spans="1:2" x14ac:dyDescent="0.3">
      <c r="A450" t="s">
        <v>757</v>
      </c>
      <c r="B450" t="s">
        <v>3088</v>
      </c>
    </row>
    <row r="451" spans="1:2" x14ac:dyDescent="0.3">
      <c r="A451" t="s">
        <v>92</v>
      </c>
      <c r="B451" t="s">
        <v>3089</v>
      </c>
    </row>
    <row r="452" spans="1:2" x14ac:dyDescent="0.3">
      <c r="A452" t="s">
        <v>494</v>
      </c>
      <c r="B452" t="s">
        <v>3090</v>
      </c>
    </row>
    <row r="453" spans="1:2" x14ac:dyDescent="0.3">
      <c r="A453" t="s">
        <v>991</v>
      </c>
      <c r="B453" t="s">
        <v>3091</v>
      </c>
    </row>
    <row r="454" spans="1:2" x14ac:dyDescent="0.3">
      <c r="A454" t="s">
        <v>633</v>
      </c>
      <c r="B454" t="s">
        <v>3092</v>
      </c>
    </row>
    <row r="455" spans="1:2" x14ac:dyDescent="0.3">
      <c r="A455" t="s">
        <v>843</v>
      </c>
      <c r="B455" t="s">
        <v>3093</v>
      </c>
    </row>
    <row r="456" spans="1:2" x14ac:dyDescent="0.3">
      <c r="A456" t="s">
        <v>787</v>
      </c>
      <c r="B456" t="s">
        <v>3094</v>
      </c>
    </row>
    <row r="457" spans="1:2" x14ac:dyDescent="0.3">
      <c r="A457" t="s">
        <v>597</v>
      </c>
      <c r="B457" t="s">
        <v>3095</v>
      </c>
    </row>
    <row r="458" spans="1:2" x14ac:dyDescent="0.3">
      <c r="A458" t="s">
        <v>411</v>
      </c>
      <c r="B458" t="s">
        <v>3096</v>
      </c>
    </row>
    <row r="459" spans="1:2" x14ac:dyDescent="0.3">
      <c r="A459" t="s">
        <v>449</v>
      </c>
      <c r="B459" t="s">
        <v>3097</v>
      </c>
    </row>
    <row r="460" spans="1:2" x14ac:dyDescent="0.3">
      <c r="A460" t="s">
        <v>541</v>
      </c>
      <c r="B460" t="s">
        <v>3098</v>
      </c>
    </row>
    <row r="461" spans="1:2" x14ac:dyDescent="0.3">
      <c r="A461" t="s">
        <v>821</v>
      </c>
      <c r="B461" t="s">
        <v>3099</v>
      </c>
    </row>
    <row r="462" spans="1:2" x14ac:dyDescent="0.3">
      <c r="A462" t="s">
        <v>809</v>
      </c>
      <c r="B462" t="s">
        <v>3100</v>
      </c>
    </row>
    <row r="463" spans="1:2" x14ac:dyDescent="0.3">
      <c r="A463" t="s">
        <v>835</v>
      </c>
      <c r="B463" t="s">
        <v>3101</v>
      </c>
    </row>
    <row r="464" spans="1:2" x14ac:dyDescent="0.3">
      <c r="A464" t="s">
        <v>871</v>
      </c>
      <c r="B464" t="s">
        <v>3102</v>
      </c>
    </row>
    <row r="465" spans="1:2" x14ac:dyDescent="0.3">
      <c r="A465" t="s">
        <v>581</v>
      </c>
      <c r="B465" t="s">
        <v>3103</v>
      </c>
    </row>
    <row r="466" spans="1:2" x14ac:dyDescent="0.3">
      <c r="A466" t="s">
        <v>948</v>
      </c>
      <c r="B466" t="s">
        <v>3104</v>
      </c>
    </row>
    <row r="467" spans="1:2" x14ac:dyDescent="0.3">
      <c r="A467" t="s">
        <v>946</v>
      </c>
      <c r="B467" t="s">
        <v>3105</v>
      </c>
    </row>
    <row r="468" spans="1:2" x14ac:dyDescent="0.3">
      <c r="A468" t="s">
        <v>102</v>
      </c>
      <c r="B468" t="s">
        <v>2964</v>
      </c>
    </row>
    <row r="469" spans="1:2" x14ac:dyDescent="0.3">
      <c r="A469" t="s">
        <v>765</v>
      </c>
      <c r="B469" t="s">
        <v>3106</v>
      </c>
    </row>
    <row r="470" spans="1:2" x14ac:dyDescent="0.3">
      <c r="A470" t="s">
        <v>298</v>
      </c>
      <c r="B470" t="s">
        <v>3107</v>
      </c>
    </row>
    <row r="471" spans="1:2" x14ac:dyDescent="0.3">
      <c r="A471" t="s">
        <v>635</v>
      </c>
      <c r="B471" t="s">
        <v>3108</v>
      </c>
    </row>
    <row r="472" spans="1:2" x14ac:dyDescent="0.3">
      <c r="A472" t="s">
        <v>423</v>
      </c>
      <c r="B472" t="s">
        <v>3109</v>
      </c>
    </row>
    <row r="473" spans="1:2" x14ac:dyDescent="0.3">
      <c r="A473" t="s">
        <v>699</v>
      </c>
      <c r="B473" t="s">
        <v>3110</v>
      </c>
    </row>
    <row r="474" spans="1:2" x14ac:dyDescent="0.3">
      <c r="A474" t="s">
        <v>112</v>
      </c>
      <c r="B474" t="s">
        <v>3006</v>
      </c>
    </row>
    <row r="475" spans="1:2" x14ac:dyDescent="0.3">
      <c r="A475" t="s">
        <v>341</v>
      </c>
      <c r="B475" t="s">
        <v>3111</v>
      </c>
    </row>
    <row r="476" spans="1:2" x14ac:dyDescent="0.3">
      <c r="A476" t="s">
        <v>537</v>
      </c>
      <c r="B476" t="s">
        <v>3112</v>
      </c>
    </row>
    <row r="477" spans="1:2" x14ac:dyDescent="0.3">
      <c r="A477" t="s">
        <v>439</v>
      </c>
      <c r="B477" t="s">
        <v>3113</v>
      </c>
    </row>
    <row r="478" spans="1:2" x14ac:dyDescent="0.3">
      <c r="A478" t="s">
        <v>96</v>
      </c>
      <c r="B478" t="s">
        <v>3114</v>
      </c>
    </row>
    <row r="479" spans="1:2" x14ac:dyDescent="0.3">
      <c r="A479" t="s">
        <v>825</v>
      </c>
      <c r="B479" t="s">
        <v>3115</v>
      </c>
    </row>
    <row r="480" spans="1:2" x14ac:dyDescent="0.3">
      <c r="A480" t="s">
        <v>176</v>
      </c>
      <c r="B480" t="s">
        <v>3116</v>
      </c>
    </row>
    <row r="481" spans="1:2" x14ac:dyDescent="0.3">
      <c r="A481" t="s">
        <v>902</v>
      </c>
      <c r="B481" t="s">
        <v>3117</v>
      </c>
    </row>
    <row r="482" spans="1:2" x14ac:dyDescent="0.3">
      <c r="A482" t="s">
        <v>900</v>
      </c>
      <c r="B482" t="s">
        <v>3118</v>
      </c>
    </row>
    <row r="483" spans="1:2" x14ac:dyDescent="0.3">
      <c r="A483" t="s">
        <v>898</v>
      </c>
      <c r="B483" t="s">
        <v>3119</v>
      </c>
    </row>
    <row r="484" spans="1:2" x14ac:dyDescent="0.3">
      <c r="A484" t="s">
        <v>553</v>
      </c>
      <c r="B484" t="s">
        <v>3120</v>
      </c>
    </row>
    <row r="485" spans="1:2" x14ac:dyDescent="0.3">
      <c r="A485" t="s">
        <v>896</v>
      </c>
      <c r="B485" t="s">
        <v>3121</v>
      </c>
    </row>
    <row r="486" spans="1:2" x14ac:dyDescent="0.3">
      <c r="A486" t="s">
        <v>192</v>
      </c>
      <c r="B486" t="s">
        <v>3122</v>
      </c>
    </row>
    <row r="487" spans="1:2" x14ac:dyDescent="0.3">
      <c r="A487" t="s">
        <v>894</v>
      </c>
      <c r="B487" t="s">
        <v>3123</v>
      </c>
    </row>
    <row r="488" spans="1:2" x14ac:dyDescent="0.3">
      <c r="A488" t="s">
        <v>892</v>
      </c>
      <c r="B488" t="s">
        <v>3124</v>
      </c>
    </row>
    <row r="489" spans="1:2" x14ac:dyDescent="0.3">
      <c r="A489" t="s">
        <v>890</v>
      </c>
      <c r="B489" t="s">
        <v>3125</v>
      </c>
    </row>
    <row r="490" spans="1:2" x14ac:dyDescent="0.3">
      <c r="A490" t="s">
        <v>746</v>
      </c>
      <c r="B490" t="s">
        <v>2955</v>
      </c>
    </row>
    <row r="491" spans="1:2" x14ac:dyDescent="0.3">
      <c r="A491" t="s">
        <v>857</v>
      </c>
      <c r="B491" t="s">
        <v>3126</v>
      </c>
    </row>
    <row r="492" spans="1:2" x14ac:dyDescent="0.3">
      <c r="A492" t="s">
        <v>475</v>
      </c>
      <c r="B492" t="s">
        <v>3127</v>
      </c>
    </row>
    <row r="493" spans="1:2" x14ac:dyDescent="0.3">
      <c r="A493" t="s">
        <v>238</v>
      </c>
      <c r="B493" t="s">
        <v>3128</v>
      </c>
    </row>
    <row r="494" spans="1:2" x14ac:dyDescent="0.3">
      <c r="A494" t="s">
        <v>234</v>
      </c>
      <c r="B494" t="s">
        <v>3129</v>
      </c>
    </row>
    <row r="495" spans="1:2" x14ac:dyDescent="0.3">
      <c r="A495" t="s">
        <v>686</v>
      </c>
      <c r="B495" t="s">
        <v>3130</v>
      </c>
    </row>
    <row r="496" spans="1:2" x14ac:dyDescent="0.3">
      <c r="A496" t="s">
        <v>461</v>
      </c>
      <c r="B496" t="s">
        <v>3131</v>
      </c>
    </row>
    <row r="497" spans="1:2" x14ac:dyDescent="0.3">
      <c r="A497" t="s">
        <v>184</v>
      </c>
      <c r="B497" t="s">
        <v>3132</v>
      </c>
    </row>
    <row r="498" spans="1:2" x14ac:dyDescent="0.3">
      <c r="A498" t="s">
        <v>60</v>
      </c>
      <c r="B498" t="s">
        <v>2769</v>
      </c>
    </row>
    <row r="499" spans="1:2" x14ac:dyDescent="0.3">
      <c r="A499" t="s">
        <v>944</v>
      </c>
      <c r="B499" t="s">
        <v>3133</v>
      </c>
    </row>
    <row r="500" spans="1:2" x14ac:dyDescent="0.3">
      <c r="A500" t="s">
        <v>942</v>
      </c>
      <c r="B500" t="s">
        <v>3134</v>
      </c>
    </row>
    <row r="501" spans="1:2" x14ac:dyDescent="0.3">
      <c r="A501" t="s">
        <v>38</v>
      </c>
      <c r="B501" t="s">
        <v>3135</v>
      </c>
    </row>
    <row r="502" spans="1:2" x14ac:dyDescent="0.3">
      <c r="A502" t="s">
        <v>371</v>
      </c>
      <c r="B502" t="s">
        <v>3136</v>
      </c>
    </row>
    <row r="503" spans="1:2" x14ac:dyDescent="0.3">
      <c r="A503" t="s">
        <v>845</v>
      </c>
      <c r="B503" t="s">
        <v>3137</v>
      </c>
    </row>
    <row r="504" spans="1:2" x14ac:dyDescent="0.3">
      <c r="A504" t="s">
        <v>296</v>
      </c>
      <c r="B504" t="s">
        <v>3138</v>
      </c>
    </row>
    <row r="505" spans="1:2" x14ac:dyDescent="0.3">
      <c r="A505" t="s">
        <v>44</v>
      </c>
      <c r="B505" t="s">
        <v>2754</v>
      </c>
    </row>
    <row r="506" spans="1:2" x14ac:dyDescent="0.3">
      <c r="A506" t="s">
        <v>631</v>
      </c>
      <c r="B506" t="s">
        <v>3139</v>
      </c>
    </row>
    <row r="507" spans="1:2" x14ac:dyDescent="0.3">
      <c r="A507" t="s">
        <v>315</v>
      </c>
      <c r="B507" t="s">
        <v>3140</v>
      </c>
    </row>
    <row r="508" spans="1:2" x14ac:dyDescent="0.3">
      <c r="A508" t="s">
        <v>829</v>
      </c>
      <c r="B508" t="s">
        <v>3141</v>
      </c>
    </row>
    <row r="509" spans="1:2" x14ac:dyDescent="0.3">
      <c r="A509" t="s">
        <v>767</v>
      </c>
      <c r="B509" t="s">
        <v>3142</v>
      </c>
    </row>
    <row r="510" spans="1:2" x14ac:dyDescent="0.3">
      <c r="A510" t="s">
        <v>583</v>
      </c>
      <c r="B510" t="s">
        <v>3143</v>
      </c>
    </row>
    <row r="511" spans="1:2" x14ac:dyDescent="0.3">
      <c r="A511" t="s">
        <v>839</v>
      </c>
      <c r="B511" t="s">
        <v>3144</v>
      </c>
    </row>
    <row r="512" spans="1:2" x14ac:dyDescent="0.3">
      <c r="A512" t="s">
        <v>236</v>
      </c>
      <c r="B512" t="s">
        <v>3145</v>
      </c>
    </row>
    <row r="513" spans="1:2" x14ac:dyDescent="0.3">
      <c r="A513" t="s">
        <v>453</v>
      </c>
      <c r="B513" t="s">
        <v>3146</v>
      </c>
    </row>
    <row r="514" spans="1:2" x14ac:dyDescent="0.3">
      <c r="A514" t="s">
        <v>429</v>
      </c>
      <c r="B514" t="s">
        <v>3000</v>
      </c>
    </row>
    <row r="515" spans="1:2" x14ac:dyDescent="0.3">
      <c r="A515" t="s">
        <v>158</v>
      </c>
      <c r="B515" t="s">
        <v>3147</v>
      </c>
    </row>
    <row r="516" spans="1:2" x14ac:dyDescent="0.3">
      <c r="A516" t="s">
        <v>869</v>
      </c>
      <c r="B516" t="s">
        <v>3148</v>
      </c>
    </row>
    <row r="517" spans="1:2" x14ac:dyDescent="0.3">
      <c r="A517" t="s">
        <v>739</v>
      </c>
      <c r="B517" t="s">
        <v>3149</v>
      </c>
    </row>
    <row r="518" spans="1:2" x14ac:dyDescent="0.3">
      <c r="A518" t="s">
        <v>1016</v>
      </c>
      <c r="B518" t="s">
        <v>3150</v>
      </c>
    </row>
    <row r="519" spans="1:2" x14ac:dyDescent="0.3">
      <c r="A519" t="s">
        <v>672</v>
      </c>
      <c r="B519" t="s">
        <v>3151</v>
      </c>
    </row>
    <row r="520" spans="1:2" x14ac:dyDescent="0.3">
      <c r="A520" t="s">
        <v>520</v>
      </c>
      <c r="B520" t="s">
        <v>3152</v>
      </c>
    </row>
    <row r="521" spans="1:2" x14ac:dyDescent="0.3">
      <c r="A521" t="s">
        <v>785</v>
      </c>
      <c r="B521" t="s">
        <v>3153</v>
      </c>
    </row>
    <row r="522" spans="1:2" x14ac:dyDescent="0.3">
      <c r="A522" t="s">
        <v>727</v>
      </c>
      <c r="B522" t="s">
        <v>3154</v>
      </c>
    </row>
    <row r="523" spans="1:2" x14ac:dyDescent="0.3">
      <c r="A523" t="s">
        <v>1044</v>
      </c>
      <c r="B523" t="s">
        <v>3155</v>
      </c>
    </row>
    <row r="524" spans="1:2" x14ac:dyDescent="0.3">
      <c r="A524" t="s">
        <v>817</v>
      </c>
      <c r="B524" t="s">
        <v>3156</v>
      </c>
    </row>
    <row r="525" spans="1:2" x14ac:dyDescent="0.3">
      <c r="A525" t="s">
        <v>801</v>
      </c>
      <c r="B525" t="s">
        <v>3157</v>
      </c>
    </row>
    <row r="526" spans="1:2" x14ac:dyDescent="0.3">
      <c r="A526" t="s">
        <v>351</v>
      </c>
      <c r="B526" t="s">
        <v>3158</v>
      </c>
    </row>
    <row r="527" spans="1:2" x14ac:dyDescent="0.3">
      <c r="A527" t="s">
        <v>639</v>
      </c>
      <c r="B527" t="s">
        <v>3159</v>
      </c>
    </row>
    <row r="528" spans="1:2" x14ac:dyDescent="0.3">
      <c r="A528" t="s">
        <v>136</v>
      </c>
      <c r="B528" t="s">
        <v>2913</v>
      </c>
    </row>
    <row r="529" spans="1:2" x14ac:dyDescent="0.3">
      <c r="A529" t="s">
        <v>1048</v>
      </c>
      <c r="B529" t="s">
        <v>3160</v>
      </c>
    </row>
    <row r="530" spans="1:2" x14ac:dyDescent="0.3">
      <c r="A530" t="s">
        <v>645</v>
      </c>
      <c r="B530" t="s">
        <v>3161</v>
      </c>
    </row>
    <row r="531" spans="1:2" x14ac:dyDescent="0.3">
      <c r="A531" t="s">
        <v>260</v>
      </c>
      <c r="B531" t="s">
        <v>3162</v>
      </c>
    </row>
    <row r="532" spans="1:2" x14ac:dyDescent="0.3">
      <c r="A532" t="s">
        <v>481</v>
      </c>
      <c r="B532" t="s">
        <v>3163</v>
      </c>
    </row>
    <row r="533" spans="1:2" x14ac:dyDescent="0.3">
      <c r="A533" t="s">
        <v>74</v>
      </c>
      <c r="B533" t="s">
        <v>3164</v>
      </c>
    </row>
    <row r="534" spans="1:2" x14ac:dyDescent="0.3">
      <c r="A534" t="s">
        <v>94</v>
      </c>
      <c r="B534" t="s">
        <v>3114</v>
      </c>
    </row>
    <row r="535" spans="1:2" x14ac:dyDescent="0.3">
      <c r="A535" t="s">
        <v>397</v>
      </c>
      <c r="B535" t="s">
        <v>3165</v>
      </c>
    </row>
    <row r="538" spans="1:2" x14ac:dyDescent="0.3">
      <c r="A538" t="s">
        <v>1054</v>
      </c>
      <c r="B538" t="s">
        <v>3166</v>
      </c>
    </row>
    <row r="539" spans="1:2" x14ac:dyDescent="0.3">
      <c r="A539" t="s">
        <v>1056</v>
      </c>
      <c r="B539" t="s">
        <v>3166</v>
      </c>
    </row>
    <row r="540" spans="1:2" x14ac:dyDescent="0.3">
      <c r="A540" t="s">
        <v>1057</v>
      </c>
      <c r="B540" t="s">
        <v>3167</v>
      </c>
    </row>
    <row r="541" spans="1:2" x14ac:dyDescent="0.3">
      <c r="A541" t="s">
        <v>1059</v>
      </c>
      <c r="B541" t="s">
        <v>3168</v>
      </c>
    </row>
    <row r="542" spans="1:2" x14ac:dyDescent="0.3">
      <c r="A542" t="s">
        <v>1061</v>
      </c>
      <c r="B542" t="s">
        <v>3169</v>
      </c>
    </row>
    <row r="543" spans="1:2" x14ac:dyDescent="0.3">
      <c r="A543" t="s">
        <v>1062</v>
      </c>
      <c r="B543" t="s">
        <v>3170</v>
      </c>
    </row>
    <row r="544" spans="1:2" x14ac:dyDescent="0.3">
      <c r="A544" t="s">
        <v>3171</v>
      </c>
      <c r="B544" t="s">
        <v>3172</v>
      </c>
    </row>
    <row r="545" spans="1:2" x14ac:dyDescent="0.3">
      <c r="A545" t="s">
        <v>1064</v>
      </c>
      <c r="B545" t="s">
        <v>3173</v>
      </c>
    </row>
    <row r="546" spans="1:2" x14ac:dyDescent="0.3">
      <c r="A546" t="s">
        <v>1065</v>
      </c>
      <c r="B546" t="s">
        <v>3174</v>
      </c>
    </row>
    <row r="547" spans="1:2" x14ac:dyDescent="0.3">
      <c r="A547" t="s">
        <v>1067</v>
      </c>
      <c r="B547" t="s">
        <v>3175</v>
      </c>
    </row>
    <row r="548" spans="1:2" x14ac:dyDescent="0.3">
      <c r="A548" t="s">
        <v>1069</v>
      </c>
      <c r="B548" t="s">
        <v>3176</v>
      </c>
    </row>
    <row r="549" spans="1:2" x14ac:dyDescent="0.3">
      <c r="A549" t="s">
        <v>1071</v>
      </c>
      <c r="B549" t="s">
        <v>3177</v>
      </c>
    </row>
    <row r="550" spans="1:2" x14ac:dyDescent="0.3">
      <c r="A550" t="s">
        <v>1072</v>
      </c>
      <c r="B550" t="s">
        <v>3178</v>
      </c>
    </row>
    <row r="551" spans="1:2" x14ac:dyDescent="0.3">
      <c r="A551" t="s">
        <v>1074</v>
      </c>
      <c r="B551" t="s">
        <v>3179</v>
      </c>
    </row>
    <row r="552" spans="1:2" x14ac:dyDescent="0.3">
      <c r="A552" t="s">
        <v>1076</v>
      </c>
      <c r="B552" t="s">
        <v>3180</v>
      </c>
    </row>
    <row r="553" spans="1:2" x14ac:dyDescent="0.3">
      <c r="A553" t="s">
        <v>1078</v>
      </c>
      <c r="B553" t="s">
        <v>3181</v>
      </c>
    </row>
    <row r="554" spans="1:2" x14ac:dyDescent="0.3">
      <c r="A554" t="s">
        <v>1080</v>
      </c>
      <c r="B554" t="s">
        <v>3182</v>
      </c>
    </row>
    <row r="555" spans="1:2" x14ac:dyDescent="0.3">
      <c r="A555" t="s">
        <v>3183</v>
      </c>
      <c r="B555" t="s">
        <v>3184</v>
      </c>
    </row>
    <row r="556" spans="1:2" x14ac:dyDescent="0.3">
      <c r="A556" t="s">
        <v>1084</v>
      </c>
      <c r="B556" t="s">
        <v>3185</v>
      </c>
    </row>
    <row r="557" spans="1:2" x14ac:dyDescent="0.3">
      <c r="A557" t="s">
        <v>1086</v>
      </c>
      <c r="B557" t="s">
        <v>3186</v>
      </c>
    </row>
    <row r="558" spans="1:2" x14ac:dyDescent="0.3">
      <c r="A558" t="s">
        <v>3187</v>
      </c>
      <c r="B558" t="s">
        <v>2921</v>
      </c>
    </row>
    <row r="559" spans="1:2" x14ac:dyDescent="0.3">
      <c r="A559" t="s">
        <v>1090</v>
      </c>
      <c r="B559" t="s">
        <v>3102</v>
      </c>
    </row>
    <row r="560" spans="1:2" x14ac:dyDescent="0.3">
      <c r="A560" t="s">
        <v>1091</v>
      </c>
      <c r="B560" t="s">
        <v>3188</v>
      </c>
    </row>
    <row r="561" spans="1:2" x14ac:dyDescent="0.3">
      <c r="A561" t="s">
        <v>1092</v>
      </c>
      <c r="B561" t="s">
        <v>3189</v>
      </c>
    </row>
    <row r="562" spans="1:2" x14ac:dyDescent="0.3">
      <c r="A562" t="s">
        <v>1093</v>
      </c>
      <c r="B562" t="s">
        <v>3190</v>
      </c>
    </row>
    <row r="563" spans="1:2" x14ac:dyDescent="0.3">
      <c r="A563" t="s">
        <v>3191</v>
      </c>
      <c r="B563" t="s">
        <v>3192</v>
      </c>
    </row>
    <row r="564" spans="1:2" x14ac:dyDescent="0.3">
      <c r="A564" t="s">
        <v>3193</v>
      </c>
      <c r="B564" t="s">
        <v>3194</v>
      </c>
    </row>
    <row r="566" spans="1:2" x14ac:dyDescent="0.3">
      <c r="A566" t="s">
        <v>1115</v>
      </c>
      <c r="B566" t="s">
        <v>3195</v>
      </c>
    </row>
    <row r="567" spans="1:2" x14ac:dyDescent="0.3">
      <c r="A567" t="s">
        <v>1117</v>
      </c>
      <c r="B567" t="s">
        <v>3196</v>
      </c>
    </row>
    <row r="568" spans="1:2" x14ac:dyDescent="0.3">
      <c r="A568" t="s">
        <v>1119</v>
      </c>
      <c r="B568" t="s">
        <v>3197</v>
      </c>
    </row>
    <row r="569" spans="1:2" x14ac:dyDescent="0.3">
      <c r="A569" t="s">
        <v>1121</v>
      </c>
      <c r="B569" t="s">
        <v>3198</v>
      </c>
    </row>
    <row r="570" spans="1:2" x14ac:dyDescent="0.3">
      <c r="A570" t="s">
        <v>1123</v>
      </c>
      <c r="B570" t="s">
        <v>3199</v>
      </c>
    </row>
    <row r="571" spans="1:2" x14ac:dyDescent="0.3">
      <c r="A571" t="s">
        <v>1125</v>
      </c>
      <c r="B571" t="s">
        <v>3200</v>
      </c>
    </row>
    <row r="572" spans="1:2" x14ac:dyDescent="0.3">
      <c r="A572" t="s">
        <v>1127</v>
      </c>
      <c r="B572" t="s">
        <v>3201</v>
      </c>
    </row>
    <row r="573" spans="1:2" x14ac:dyDescent="0.3">
      <c r="A573" t="s">
        <v>1129</v>
      </c>
      <c r="B573" t="s">
        <v>3202</v>
      </c>
    </row>
    <row r="574" spans="1:2" x14ac:dyDescent="0.3">
      <c r="A574" t="s">
        <v>1131</v>
      </c>
      <c r="B574" t="s">
        <v>3203</v>
      </c>
    </row>
    <row r="575" spans="1:2" x14ac:dyDescent="0.3">
      <c r="A575" t="s">
        <v>1133</v>
      </c>
      <c r="B575" t="s">
        <v>3204</v>
      </c>
    </row>
    <row r="577" spans="1:2" x14ac:dyDescent="0.3">
      <c r="A577" t="s">
        <v>1136</v>
      </c>
      <c r="B577" t="s">
        <v>3205</v>
      </c>
    </row>
    <row r="578" spans="1:2" x14ac:dyDescent="0.3">
      <c r="A578" t="s">
        <v>1137</v>
      </c>
      <c r="B578" t="s">
        <v>3206</v>
      </c>
    </row>
    <row r="579" spans="1:2" x14ac:dyDescent="0.3">
      <c r="A579" t="s">
        <v>1139</v>
      </c>
      <c r="B579" t="s">
        <v>3207</v>
      </c>
    </row>
    <row r="580" spans="1:2" x14ac:dyDescent="0.3">
      <c r="A580" t="s">
        <v>1145</v>
      </c>
      <c r="B580" t="s">
        <v>3146</v>
      </c>
    </row>
    <row r="581" spans="1:2" x14ac:dyDescent="0.3">
      <c r="A581" t="s">
        <v>1141</v>
      </c>
      <c r="B581" t="s">
        <v>3208</v>
      </c>
    </row>
    <row r="582" spans="1:2" x14ac:dyDescent="0.3">
      <c r="A582" t="s">
        <v>1143</v>
      </c>
      <c r="B582" t="s">
        <v>3209</v>
      </c>
    </row>
    <row r="583" spans="1:2" x14ac:dyDescent="0.3">
      <c r="A583" t="s">
        <v>1147</v>
      </c>
      <c r="B583" t="s">
        <v>3210</v>
      </c>
    </row>
    <row r="584" spans="1:2" x14ac:dyDescent="0.3">
      <c r="A584" t="s">
        <v>1149</v>
      </c>
      <c r="B584" t="s">
        <v>2686</v>
      </c>
    </row>
    <row r="585" spans="1:2" x14ac:dyDescent="0.3">
      <c r="A585" t="s">
        <v>1151</v>
      </c>
      <c r="B585" t="s">
        <v>3146</v>
      </c>
    </row>
    <row r="586" spans="1:2" x14ac:dyDescent="0.3">
      <c r="A586" t="s">
        <v>1153</v>
      </c>
      <c r="B586" t="s">
        <v>3211</v>
      </c>
    </row>
    <row r="587" spans="1:2" x14ac:dyDescent="0.3">
      <c r="A587" t="s">
        <v>1155</v>
      </c>
      <c r="B587" t="s">
        <v>3212</v>
      </c>
    </row>
    <row r="588" spans="1:2" x14ac:dyDescent="0.3">
      <c r="A588" t="s">
        <v>1156</v>
      </c>
      <c r="B588" t="s">
        <v>3213</v>
      </c>
    </row>
    <row r="589" spans="1:2" x14ac:dyDescent="0.3">
      <c r="A589" t="s">
        <v>1158</v>
      </c>
      <c r="B589" t="s">
        <v>1159</v>
      </c>
    </row>
    <row r="590" spans="1:2" x14ac:dyDescent="0.3">
      <c r="A590" t="s">
        <v>1160</v>
      </c>
      <c r="B590" t="s">
        <v>3214</v>
      </c>
    </row>
    <row r="591" spans="1:2" x14ac:dyDescent="0.3">
      <c r="A591" t="s">
        <v>1162</v>
      </c>
      <c r="B591" t="s">
        <v>3215</v>
      </c>
    </row>
    <row r="592" spans="1:2" x14ac:dyDescent="0.3">
      <c r="A592" t="s">
        <v>1164</v>
      </c>
      <c r="B592" t="s">
        <v>3009</v>
      </c>
    </row>
    <row r="593" spans="1:2" x14ac:dyDescent="0.3">
      <c r="A593" t="s">
        <v>1166</v>
      </c>
      <c r="B593" t="s">
        <v>3216</v>
      </c>
    </row>
    <row r="594" spans="1:2" x14ac:dyDescent="0.3">
      <c r="A594" t="s">
        <v>1168</v>
      </c>
      <c r="B594" t="s">
        <v>3217</v>
      </c>
    </row>
    <row r="595" spans="1:2" x14ac:dyDescent="0.3">
      <c r="A595" t="s">
        <v>1170</v>
      </c>
      <c r="B595" t="s">
        <v>3218</v>
      </c>
    </row>
    <row r="596" spans="1:2" x14ac:dyDescent="0.3">
      <c r="A596" t="s">
        <v>1172</v>
      </c>
      <c r="B596" t="s">
        <v>3219</v>
      </c>
    </row>
    <row r="597" spans="1:2" x14ac:dyDescent="0.3">
      <c r="A597" t="s">
        <v>1174</v>
      </c>
      <c r="B597" t="s">
        <v>3220</v>
      </c>
    </row>
    <row r="598" spans="1:2" x14ac:dyDescent="0.3">
      <c r="A598" t="s">
        <v>1176</v>
      </c>
      <c r="B598" t="s">
        <v>3221</v>
      </c>
    </row>
    <row r="599" spans="1:2" x14ac:dyDescent="0.3">
      <c r="A599" t="s">
        <v>1178</v>
      </c>
      <c r="B599" t="s">
        <v>3222</v>
      </c>
    </row>
    <row r="600" spans="1:2" x14ac:dyDescent="0.3">
      <c r="A600" t="s">
        <v>1180</v>
      </c>
      <c r="B600" t="s">
        <v>3223</v>
      </c>
    </row>
    <row r="601" spans="1:2" x14ac:dyDescent="0.3">
      <c r="A601" t="s">
        <v>1182</v>
      </c>
      <c r="B601" t="s">
        <v>3224</v>
      </c>
    </row>
    <row r="602" spans="1:2" x14ac:dyDescent="0.3">
      <c r="A602" t="s">
        <v>1184</v>
      </c>
      <c r="B602" t="s">
        <v>3225</v>
      </c>
    </row>
    <row r="603" spans="1:2" x14ac:dyDescent="0.3">
      <c r="A603" t="s">
        <v>1186</v>
      </c>
      <c r="B603" t="s">
        <v>3226</v>
      </c>
    </row>
    <row r="604" spans="1:2" x14ac:dyDescent="0.3">
      <c r="A604" t="s">
        <v>1188</v>
      </c>
      <c r="B604" t="s">
        <v>3227</v>
      </c>
    </row>
    <row r="605" spans="1:2" x14ac:dyDescent="0.3">
      <c r="A605" t="s">
        <v>1190</v>
      </c>
      <c r="B605" t="s">
        <v>3228</v>
      </c>
    </row>
    <row r="606" spans="1:2" x14ac:dyDescent="0.3">
      <c r="A606" t="s">
        <v>1192</v>
      </c>
      <c r="B606" t="s">
        <v>3229</v>
      </c>
    </row>
    <row r="607" spans="1:2" x14ac:dyDescent="0.3">
      <c r="A607" t="s">
        <v>1194</v>
      </c>
      <c r="B607" t="s">
        <v>3230</v>
      </c>
    </row>
    <row r="608" spans="1:2" x14ac:dyDescent="0.3">
      <c r="A608" t="s">
        <v>1196</v>
      </c>
      <c r="B608" t="s">
        <v>3231</v>
      </c>
    </row>
    <row r="609" spans="1:2" x14ac:dyDescent="0.3">
      <c r="A609" t="s">
        <v>1198</v>
      </c>
      <c r="B609" t="s">
        <v>3232</v>
      </c>
    </row>
    <row r="610" spans="1:2" x14ac:dyDescent="0.3">
      <c r="A610" t="s">
        <v>1200</v>
      </c>
      <c r="B610" t="s">
        <v>2746</v>
      </c>
    </row>
    <row r="611" spans="1:2" x14ac:dyDescent="0.3">
      <c r="A611" t="s">
        <v>1202</v>
      </c>
      <c r="B611" t="s">
        <v>2746</v>
      </c>
    </row>
    <row r="612" spans="1:2" x14ac:dyDescent="0.3">
      <c r="A612" t="s">
        <v>1204</v>
      </c>
      <c r="B612" t="s">
        <v>3233</v>
      </c>
    </row>
    <row r="613" spans="1:2" x14ac:dyDescent="0.3">
      <c r="A613" t="s">
        <v>1206</v>
      </c>
      <c r="B613" t="s">
        <v>2931</v>
      </c>
    </row>
    <row r="614" spans="1:2" x14ac:dyDescent="0.3">
      <c r="A614" t="s">
        <v>1208</v>
      </c>
      <c r="B614" t="s">
        <v>3234</v>
      </c>
    </row>
    <row r="615" spans="1:2" x14ac:dyDescent="0.3">
      <c r="A615" t="s">
        <v>1210</v>
      </c>
      <c r="B615" t="s">
        <v>3235</v>
      </c>
    </row>
    <row r="616" spans="1:2" x14ac:dyDescent="0.3">
      <c r="A616" t="s">
        <v>1212</v>
      </c>
      <c r="B616" t="s">
        <v>3236</v>
      </c>
    </row>
    <row r="617" spans="1:2" x14ac:dyDescent="0.3">
      <c r="A617" t="s">
        <v>1214</v>
      </c>
      <c r="B617" t="s">
        <v>3237</v>
      </c>
    </row>
    <row r="618" spans="1:2" x14ac:dyDescent="0.3">
      <c r="A618" t="s">
        <v>1216</v>
      </c>
      <c r="B618" t="s">
        <v>3238</v>
      </c>
    </row>
    <row r="619" spans="1:2" x14ac:dyDescent="0.3">
      <c r="A619" t="s">
        <v>1217</v>
      </c>
      <c r="B619" t="s">
        <v>3239</v>
      </c>
    </row>
    <row r="620" spans="1:2" x14ac:dyDescent="0.3">
      <c r="A620" t="s">
        <v>1219</v>
      </c>
      <c r="B620" t="s">
        <v>3240</v>
      </c>
    </row>
    <row r="621" spans="1:2" x14ac:dyDescent="0.3">
      <c r="A621" t="s">
        <v>1221</v>
      </c>
      <c r="B621" t="s">
        <v>3241</v>
      </c>
    </row>
    <row r="622" spans="1:2" x14ac:dyDescent="0.3">
      <c r="A622" t="s">
        <v>1223</v>
      </c>
      <c r="B622" t="s">
        <v>3242</v>
      </c>
    </row>
    <row r="623" spans="1:2" x14ac:dyDescent="0.3">
      <c r="A623" t="s">
        <v>1225</v>
      </c>
      <c r="B623" t="s">
        <v>2607</v>
      </c>
    </row>
    <row r="624" spans="1:2" x14ac:dyDescent="0.3">
      <c r="A624" t="s">
        <v>1227</v>
      </c>
      <c r="B624" t="s">
        <v>3243</v>
      </c>
    </row>
    <row r="625" spans="1:2" x14ac:dyDescent="0.3">
      <c r="A625" t="s">
        <v>1229</v>
      </c>
      <c r="B625" t="s">
        <v>3244</v>
      </c>
    </row>
    <row r="626" spans="1:2" x14ac:dyDescent="0.3">
      <c r="A626" t="s">
        <v>1231</v>
      </c>
      <c r="B626" t="s">
        <v>3245</v>
      </c>
    </row>
    <row r="627" spans="1:2" x14ac:dyDescent="0.3">
      <c r="A627" t="s">
        <v>1233</v>
      </c>
      <c r="B627" t="s">
        <v>3246</v>
      </c>
    </row>
    <row r="628" spans="1:2" x14ac:dyDescent="0.3">
      <c r="A628" t="s">
        <v>1235</v>
      </c>
      <c r="B628" t="s">
        <v>3247</v>
      </c>
    </row>
    <row r="629" spans="1:2" x14ac:dyDescent="0.3">
      <c r="A629" t="s">
        <v>1237</v>
      </c>
      <c r="B629" t="s">
        <v>3248</v>
      </c>
    </row>
    <row r="630" spans="1:2" x14ac:dyDescent="0.3">
      <c r="A630" t="s">
        <v>1239</v>
      </c>
      <c r="B630" t="s">
        <v>3249</v>
      </c>
    </row>
    <row r="631" spans="1:2" x14ac:dyDescent="0.3">
      <c r="A631" t="s">
        <v>1241</v>
      </c>
      <c r="B631" t="s">
        <v>3250</v>
      </c>
    </row>
    <row r="632" spans="1:2" x14ac:dyDescent="0.3">
      <c r="A632" t="s">
        <v>1243</v>
      </c>
      <c r="B632" t="s">
        <v>3251</v>
      </c>
    </row>
    <row r="633" spans="1:2" x14ac:dyDescent="0.3">
      <c r="A633" t="s">
        <v>1245</v>
      </c>
      <c r="B633" t="s">
        <v>3252</v>
      </c>
    </row>
    <row r="634" spans="1:2" x14ac:dyDescent="0.3">
      <c r="A634" t="s">
        <v>1247</v>
      </c>
      <c r="B634" t="s">
        <v>3253</v>
      </c>
    </row>
    <row r="635" spans="1:2" x14ac:dyDescent="0.3">
      <c r="A635" t="s">
        <v>1249</v>
      </c>
      <c r="B635" t="s">
        <v>3254</v>
      </c>
    </row>
    <row r="636" spans="1:2" x14ac:dyDescent="0.3">
      <c r="A636" t="s">
        <v>1251</v>
      </c>
      <c r="B636" t="s">
        <v>3255</v>
      </c>
    </row>
    <row r="637" spans="1:2" x14ac:dyDescent="0.3">
      <c r="A637" t="s">
        <v>1253</v>
      </c>
      <c r="B637" t="s">
        <v>3256</v>
      </c>
    </row>
    <row r="638" spans="1:2" x14ac:dyDescent="0.3">
      <c r="A638" t="s">
        <v>1255</v>
      </c>
      <c r="B638" t="s">
        <v>3257</v>
      </c>
    </row>
    <row r="639" spans="1:2" x14ac:dyDescent="0.3">
      <c r="A639" t="s">
        <v>1257</v>
      </c>
      <c r="B639" t="s">
        <v>3258</v>
      </c>
    </row>
    <row r="640" spans="1:2" x14ac:dyDescent="0.3">
      <c r="A640" t="s">
        <v>1259</v>
      </c>
      <c r="B640" t="s">
        <v>3259</v>
      </c>
    </row>
    <row r="641" spans="1:2" x14ac:dyDescent="0.3">
      <c r="A641" t="s">
        <v>1261</v>
      </c>
      <c r="B641" t="s">
        <v>3260</v>
      </c>
    </row>
    <row r="642" spans="1:2" x14ac:dyDescent="0.3">
      <c r="A642" t="s">
        <v>1263</v>
      </c>
      <c r="B642" t="s">
        <v>3261</v>
      </c>
    </row>
    <row r="643" spans="1:2" x14ac:dyDescent="0.3">
      <c r="A643" t="s">
        <v>1265</v>
      </c>
      <c r="B643" t="s">
        <v>3262</v>
      </c>
    </row>
    <row r="644" spans="1:2" x14ac:dyDescent="0.3">
      <c r="A644" t="s">
        <v>1267</v>
      </c>
      <c r="B644" t="s">
        <v>3263</v>
      </c>
    </row>
    <row r="645" spans="1:2" x14ac:dyDescent="0.3">
      <c r="A645" t="s">
        <v>1269</v>
      </c>
      <c r="B645" t="s">
        <v>3264</v>
      </c>
    </row>
    <row r="646" spans="1:2" x14ac:dyDescent="0.3">
      <c r="A646" t="s">
        <v>1271</v>
      </c>
      <c r="B646" t="s">
        <v>3265</v>
      </c>
    </row>
    <row r="647" spans="1:2" x14ac:dyDescent="0.3">
      <c r="A647" t="s">
        <v>1273</v>
      </c>
      <c r="B647" t="s">
        <v>3266</v>
      </c>
    </row>
    <row r="648" spans="1:2" x14ac:dyDescent="0.3">
      <c r="A648" t="s">
        <v>1275</v>
      </c>
      <c r="B648" t="s">
        <v>3267</v>
      </c>
    </row>
    <row r="649" spans="1:2" x14ac:dyDescent="0.3">
      <c r="A649" t="s">
        <v>1277</v>
      </c>
      <c r="B649" t="s">
        <v>3268</v>
      </c>
    </row>
    <row r="650" spans="1:2" x14ac:dyDescent="0.3">
      <c r="A650" t="s">
        <v>1279</v>
      </c>
      <c r="B650" t="s">
        <v>3269</v>
      </c>
    </row>
    <row r="651" spans="1:2" x14ac:dyDescent="0.3">
      <c r="A651" t="s">
        <v>1281</v>
      </c>
      <c r="B651" t="s">
        <v>3270</v>
      </c>
    </row>
    <row r="652" spans="1:2" x14ac:dyDescent="0.3">
      <c r="A652" t="s">
        <v>1283</v>
      </c>
      <c r="B652" t="s">
        <v>3271</v>
      </c>
    </row>
    <row r="653" spans="1:2" x14ac:dyDescent="0.3">
      <c r="A653" t="s">
        <v>1285</v>
      </c>
      <c r="B653" t="s">
        <v>3272</v>
      </c>
    </row>
    <row r="654" spans="1:2" x14ac:dyDescent="0.3">
      <c r="A654" t="s">
        <v>1287</v>
      </c>
      <c r="B654" t="s">
        <v>3273</v>
      </c>
    </row>
    <row r="655" spans="1:2" x14ac:dyDescent="0.3">
      <c r="A655" t="s">
        <v>1289</v>
      </c>
      <c r="B655" t="s">
        <v>1159</v>
      </c>
    </row>
    <row r="656" spans="1:2" x14ac:dyDescent="0.3">
      <c r="A656" t="s">
        <v>1290</v>
      </c>
      <c r="B656" t="s">
        <v>3274</v>
      </c>
    </row>
    <row r="657" spans="1:2" x14ac:dyDescent="0.3">
      <c r="A657" t="s">
        <v>1292</v>
      </c>
      <c r="B657" t="s">
        <v>3275</v>
      </c>
    </row>
    <row r="658" spans="1:2" x14ac:dyDescent="0.3">
      <c r="A658" t="s">
        <v>1294</v>
      </c>
      <c r="B658" t="s">
        <v>3276</v>
      </c>
    </row>
    <row r="659" spans="1:2" x14ac:dyDescent="0.3">
      <c r="A659" t="s">
        <v>1296</v>
      </c>
      <c r="B659" t="s">
        <v>3019</v>
      </c>
    </row>
    <row r="660" spans="1:2" x14ac:dyDescent="0.3">
      <c r="A660" t="s">
        <v>1297</v>
      </c>
      <c r="B660" t="s">
        <v>3277</v>
      </c>
    </row>
    <row r="661" spans="1:2" x14ac:dyDescent="0.3">
      <c r="A661" t="s">
        <v>1299</v>
      </c>
      <c r="B661" t="s">
        <v>3278</v>
      </c>
    </row>
    <row r="662" spans="1:2" x14ac:dyDescent="0.3">
      <c r="A662" t="s">
        <v>1301</v>
      </c>
      <c r="B662" t="s">
        <v>3279</v>
      </c>
    </row>
    <row r="663" spans="1:2" x14ac:dyDescent="0.3">
      <c r="A663" t="s">
        <v>1302</v>
      </c>
      <c r="B663" t="s">
        <v>3280</v>
      </c>
    </row>
    <row r="664" spans="1:2" x14ac:dyDescent="0.3">
      <c r="A664" t="s">
        <v>1304</v>
      </c>
      <c r="B664" t="s">
        <v>3281</v>
      </c>
    </row>
    <row r="665" spans="1:2" x14ac:dyDescent="0.3">
      <c r="A665" t="s">
        <v>1306</v>
      </c>
      <c r="B665" t="s">
        <v>3002</v>
      </c>
    </row>
    <row r="666" spans="1:2" x14ac:dyDescent="0.3">
      <c r="A666" t="s">
        <v>1307</v>
      </c>
      <c r="B666" t="s">
        <v>3282</v>
      </c>
    </row>
    <row r="667" spans="1:2" x14ac:dyDescent="0.3">
      <c r="A667" t="s">
        <v>1309</v>
      </c>
      <c r="B667" t="s">
        <v>3283</v>
      </c>
    </row>
    <row r="668" spans="1:2" x14ac:dyDescent="0.3">
      <c r="A668" t="s">
        <v>1311</v>
      </c>
      <c r="B668" t="s">
        <v>3284</v>
      </c>
    </row>
    <row r="669" spans="1:2" x14ac:dyDescent="0.3">
      <c r="A669" t="s">
        <v>1313</v>
      </c>
      <c r="B669" t="s">
        <v>3285</v>
      </c>
    </row>
    <row r="670" spans="1:2" x14ac:dyDescent="0.3">
      <c r="A670" t="s">
        <v>1315</v>
      </c>
      <c r="B670" t="s">
        <v>3286</v>
      </c>
    </row>
    <row r="671" spans="1:2" x14ac:dyDescent="0.3">
      <c r="A671" t="s">
        <v>1317</v>
      </c>
      <c r="B671" t="s">
        <v>3287</v>
      </c>
    </row>
    <row r="672" spans="1:2" x14ac:dyDescent="0.3">
      <c r="A672" t="s">
        <v>1319</v>
      </c>
      <c r="B672" t="s">
        <v>3288</v>
      </c>
    </row>
    <row r="673" spans="1:2" x14ac:dyDescent="0.3">
      <c r="A673" t="s">
        <v>1321</v>
      </c>
      <c r="B673" t="s">
        <v>3222</v>
      </c>
    </row>
    <row r="674" spans="1:2" x14ac:dyDescent="0.3">
      <c r="A674" t="s">
        <v>1322</v>
      </c>
      <c r="B674" t="s">
        <v>3289</v>
      </c>
    </row>
    <row r="675" spans="1:2" x14ac:dyDescent="0.3">
      <c r="A675" t="s">
        <v>1324</v>
      </c>
      <c r="B675" t="s">
        <v>2624</v>
      </c>
    </row>
    <row r="676" spans="1:2" x14ac:dyDescent="0.3">
      <c r="A676" t="s">
        <v>1326</v>
      </c>
      <c r="B676" t="s">
        <v>3210</v>
      </c>
    </row>
    <row r="677" spans="1:2" x14ac:dyDescent="0.3">
      <c r="A677" t="s">
        <v>1328</v>
      </c>
      <c r="B677" t="s">
        <v>3290</v>
      </c>
    </row>
    <row r="678" spans="1:2" x14ac:dyDescent="0.3">
      <c r="A678" t="s">
        <v>1330</v>
      </c>
      <c r="B678" t="s">
        <v>3291</v>
      </c>
    </row>
    <row r="679" spans="1:2" x14ac:dyDescent="0.3">
      <c r="A679" t="s">
        <v>1332</v>
      </c>
      <c r="B679" t="s">
        <v>3292</v>
      </c>
    </row>
    <row r="680" spans="1:2" x14ac:dyDescent="0.3">
      <c r="A680" t="s">
        <v>1334</v>
      </c>
      <c r="B680" t="s">
        <v>3293</v>
      </c>
    </row>
    <row r="681" spans="1:2" x14ac:dyDescent="0.3">
      <c r="A681" t="s">
        <v>1336</v>
      </c>
      <c r="B681" t="s">
        <v>3294</v>
      </c>
    </row>
    <row r="682" spans="1:2" x14ac:dyDescent="0.3">
      <c r="A682" t="s">
        <v>1338</v>
      </c>
      <c r="B682" t="s">
        <v>3295</v>
      </c>
    </row>
    <row r="683" spans="1:2" x14ac:dyDescent="0.3">
      <c r="A683" t="s">
        <v>1340</v>
      </c>
      <c r="B683" t="s">
        <v>3296</v>
      </c>
    </row>
    <row r="684" spans="1:2" x14ac:dyDescent="0.3">
      <c r="A684" t="s">
        <v>1342</v>
      </c>
      <c r="B684" t="s">
        <v>3242</v>
      </c>
    </row>
    <row r="685" spans="1:2" x14ac:dyDescent="0.3">
      <c r="A685" t="s">
        <v>1344</v>
      </c>
      <c r="B685" t="s">
        <v>3297</v>
      </c>
    </row>
    <row r="686" spans="1:2" x14ac:dyDescent="0.3">
      <c r="A686" t="s">
        <v>1346</v>
      </c>
      <c r="B686" t="s">
        <v>3298</v>
      </c>
    </row>
    <row r="687" spans="1:2" x14ac:dyDescent="0.3">
      <c r="A687" t="s">
        <v>1347</v>
      </c>
      <c r="B687" t="s">
        <v>3299</v>
      </c>
    </row>
    <row r="688" spans="1:2" x14ac:dyDescent="0.3">
      <c r="A688" t="s">
        <v>1349</v>
      </c>
      <c r="B688" t="s">
        <v>3271</v>
      </c>
    </row>
    <row r="689" spans="1:2" x14ac:dyDescent="0.3">
      <c r="A689" t="s">
        <v>1351</v>
      </c>
      <c r="B689" t="s">
        <v>2931</v>
      </c>
    </row>
    <row r="690" spans="1:2" x14ac:dyDescent="0.3">
      <c r="A690" t="s">
        <v>1139</v>
      </c>
      <c r="B690" t="s">
        <v>2601</v>
      </c>
    </row>
    <row r="691" spans="1:2" x14ac:dyDescent="0.3">
      <c r="A691" t="s">
        <v>1353</v>
      </c>
      <c r="B691" t="s">
        <v>3300</v>
      </c>
    </row>
    <row r="692" spans="1:2" x14ac:dyDescent="0.3">
      <c r="A692" t="s">
        <v>1326</v>
      </c>
      <c r="B692" t="s">
        <v>3210</v>
      </c>
    </row>
    <row r="693" spans="1:2" x14ac:dyDescent="0.3">
      <c r="A693" t="s">
        <v>1355</v>
      </c>
      <c r="B693" t="s">
        <v>3301</v>
      </c>
    </row>
    <row r="694" spans="1:2" x14ac:dyDescent="0.3">
      <c r="A694" t="s">
        <v>1357</v>
      </c>
      <c r="B694" t="s">
        <v>3302</v>
      </c>
    </row>
    <row r="696" spans="1:2" x14ac:dyDescent="0.3">
      <c r="A696" t="s">
        <v>1359</v>
      </c>
      <c r="B696" t="s">
        <v>3303</v>
      </c>
    </row>
    <row r="698" spans="1:2" x14ac:dyDescent="0.3">
      <c r="A698" t="s">
        <v>1361</v>
      </c>
      <c r="B698" t="s">
        <v>3304</v>
      </c>
    </row>
    <row r="699" spans="1:2" x14ac:dyDescent="0.3">
      <c r="A699" t="s">
        <v>1363</v>
      </c>
      <c r="B699" t="s">
        <v>3305</v>
      </c>
    </row>
    <row r="700" spans="1:2" x14ac:dyDescent="0.3">
      <c r="A700" t="s">
        <v>1365</v>
      </c>
      <c r="B700" t="s">
        <v>3306</v>
      </c>
    </row>
    <row r="701" spans="1:2" x14ac:dyDescent="0.3">
      <c r="A701" t="s">
        <v>1367</v>
      </c>
      <c r="B701" t="s">
        <v>3307</v>
      </c>
    </row>
    <row r="702" spans="1:2" x14ac:dyDescent="0.3">
      <c r="A702" t="s">
        <v>1369</v>
      </c>
      <c r="B702" t="s">
        <v>3308</v>
      </c>
    </row>
    <row r="703" spans="1:2" x14ac:dyDescent="0.3">
      <c r="A703" t="s">
        <v>1371</v>
      </c>
      <c r="B703" t="s">
        <v>3309</v>
      </c>
    </row>
    <row r="704" spans="1:2" x14ac:dyDescent="0.3">
      <c r="A704" t="s">
        <v>1373</v>
      </c>
      <c r="B704" t="s">
        <v>3310</v>
      </c>
    </row>
    <row r="705" spans="1:2" x14ac:dyDescent="0.3">
      <c r="A705" t="s">
        <v>1375</v>
      </c>
      <c r="B705" t="s">
        <v>3311</v>
      </c>
    </row>
    <row r="706" spans="1:2" x14ac:dyDescent="0.3">
      <c r="A706" t="s">
        <v>1377</v>
      </c>
      <c r="B706" t="s">
        <v>3312</v>
      </c>
    </row>
    <row r="707" spans="1:2" x14ac:dyDescent="0.3">
      <c r="A707" t="s">
        <v>1379</v>
      </c>
      <c r="B707" t="s">
        <v>3313</v>
      </c>
    </row>
    <row r="708" spans="1:2" x14ac:dyDescent="0.3">
      <c r="A708" t="s">
        <v>1381</v>
      </c>
      <c r="B708" t="s">
        <v>3314</v>
      </c>
    </row>
    <row r="709" spans="1:2" x14ac:dyDescent="0.3">
      <c r="A709" t="s">
        <v>1383</v>
      </c>
      <c r="B709" t="s">
        <v>3315</v>
      </c>
    </row>
    <row r="710" spans="1:2" x14ac:dyDescent="0.3">
      <c r="A710" t="s">
        <v>1385</v>
      </c>
      <c r="B710" t="s">
        <v>2986</v>
      </c>
    </row>
    <row r="711" spans="1:2" x14ac:dyDescent="0.3">
      <c r="A711" t="s">
        <v>1386</v>
      </c>
      <c r="B711" t="s">
        <v>2882</v>
      </c>
    </row>
    <row r="712" spans="1:2" x14ac:dyDescent="0.3">
      <c r="A712" t="s">
        <v>1387</v>
      </c>
      <c r="B712" t="s">
        <v>3316</v>
      </c>
    </row>
    <row r="713" spans="1:2" x14ac:dyDescent="0.3">
      <c r="A713" t="s">
        <v>1388</v>
      </c>
      <c r="B713" t="s">
        <v>3317</v>
      </c>
    </row>
    <row r="714" spans="1:2" x14ac:dyDescent="0.3">
      <c r="A714" t="s">
        <v>1389</v>
      </c>
      <c r="B714" t="s">
        <v>2827</v>
      </c>
    </row>
    <row r="715" spans="1:2" x14ac:dyDescent="0.3">
      <c r="A715" t="s">
        <v>1390</v>
      </c>
      <c r="B715" t="s">
        <v>3318</v>
      </c>
    </row>
    <row r="716" spans="1:2" x14ac:dyDescent="0.3">
      <c r="A716" t="s">
        <v>1392</v>
      </c>
      <c r="B716" t="s">
        <v>3319</v>
      </c>
    </row>
    <row r="717" spans="1:2" x14ac:dyDescent="0.3">
      <c r="A717" t="s">
        <v>1394</v>
      </c>
      <c r="B717" t="s">
        <v>3320</v>
      </c>
    </row>
    <row r="718" spans="1:2" x14ac:dyDescent="0.3">
      <c r="A718" t="s">
        <v>1396</v>
      </c>
      <c r="B718" t="s">
        <v>2614</v>
      </c>
    </row>
    <row r="719" spans="1:2" x14ac:dyDescent="0.3">
      <c r="A719" t="s">
        <v>1398</v>
      </c>
      <c r="B719" t="s">
        <v>2615</v>
      </c>
    </row>
    <row r="722" spans="1:2" x14ac:dyDescent="0.3">
      <c r="A722" t="s">
        <v>1400</v>
      </c>
      <c r="B722" t="s">
        <v>3321</v>
      </c>
    </row>
    <row r="724" spans="1:2" x14ac:dyDescent="0.3">
      <c r="A724" t="s">
        <v>1402</v>
      </c>
      <c r="B724" t="s">
        <v>3322</v>
      </c>
    </row>
    <row r="725" spans="1:2" x14ac:dyDescent="0.3">
      <c r="A725" t="s">
        <v>1404</v>
      </c>
      <c r="B725" t="s">
        <v>3323</v>
      </c>
    </row>
    <row r="727" spans="1:2" x14ac:dyDescent="0.3">
      <c r="A727" t="s">
        <v>847</v>
      </c>
      <c r="B727" t="s">
        <v>3067</v>
      </c>
    </row>
    <row r="728" spans="1:2" x14ac:dyDescent="0.3">
      <c r="A728" t="s">
        <v>1406</v>
      </c>
      <c r="B728" t="s">
        <v>3031</v>
      </c>
    </row>
    <row r="730" spans="1:2" x14ac:dyDescent="0.3">
      <c r="A730" t="s">
        <v>1408</v>
      </c>
      <c r="B730" t="s">
        <v>1409</v>
      </c>
    </row>
    <row r="731" spans="1:2" x14ac:dyDescent="0.3">
      <c r="A731" t="s">
        <v>1410</v>
      </c>
      <c r="B731" t="s">
        <v>1096</v>
      </c>
    </row>
    <row r="732" spans="1:2" x14ac:dyDescent="0.3">
      <c r="A732" t="s">
        <v>1412</v>
      </c>
      <c r="B732" t="s">
        <v>1413</v>
      </c>
    </row>
    <row r="733" spans="1:2" x14ac:dyDescent="0.3">
      <c r="A733" t="s">
        <v>1414</v>
      </c>
      <c r="B733" t="s">
        <v>1415</v>
      </c>
    </row>
    <row r="735" spans="1:2" x14ac:dyDescent="0.3">
      <c r="A735" t="s">
        <v>1416</v>
      </c>
      <c r="B735" t="s">
        <v>1417</v>
      </c>
    </row>
    <row r="736" spans="1:2" x14ac:dyDescent="0.3">
      <c r="A736" t="s">
        <v>1418</v>
      </c>
      <c r="B736" t="s">
        <v>3324</v>
      </c>
    </row>
    <row r="737" spans="1:2" x14ac:dyDescent="0.3">
      <c r="A737" t="s">
        <v>1420</v>
      </c>
      <c r="B737" t="s">
        <v>2618</v>
      </c>
    </row>
    <row r="738" spans="1:2" x14ac:dyDescent="0.3">
      <c r="A738" t="s">
        <v>1422</v>
      </c>
      <c r="B738" t="s">
        <v>1423</v>
      </c>
    </row>
    <row r="740" spans="1:2" x14ac:dyDescent="0.3">
      <c r="A740" t="s">
        <v>1424</v>
      </c>
      <c r="B740" t="s">
        <v>1425</v>
      </c>
    </row>
    <row r="741" spans="1:2" x14ac:dyDescent="0.3">
      <c r="A741" t="s">
        <v>1426</v>
      </c>
      <c r="B741" t="s">
        <v>3325</v>
      </c>
    </row>
    <row r="742" spans="1:2" x14ac:dyDescent="0.3">
      <c r="A742" t="s">
        <v>1428</v>
      </c>
      <c r="B742" t="s">
        <v>1429</v>
      </c>
    </row>
    <row r="743" spans="1:2" x14ac:dyDescent="0.3">
      <c r="A743" t="s">
        <v>1430</v>
      </c>
      <c r="B743" t="s">
        <v>1423</v>
      </c>
    </row>
    <row r="745" spans="1:2" x14ac:dyDescent="0.3">
      <c r="A745" t="s">
        <v>3326</v>
      </c>
      <c r="B745" t="s">
        <v>2730</v>
      </c>
    </row>
    <row r="747" spans="1:2" x14ac:dyDescent="0.3">
      <c r="A747" t="s">
        <v>1431</v>
      </c>
      <c r="B747" t="s">
        <v>3327</v>
      </c>
    </row>
    <row r="748" spans="1:2" x14ac:dyDescent="0.3">
      <c r="A748" t="s">
        <v>1433</v>
      </c>
      <c r="B748" t="s">
        <v>3328</v>
      </c>
    </row>
    <row r="749" spans="1:2" x14ac:dyDescent="0.3">
      <c r="A749" t="s">
        <v>1435</v>
      </c>
      <c r="B749" t="s">
        <v>3135</v>
      </c>
    </row>
    <row r="750" spans="1:2" x14ac:dyDescent="0.3">
      <c r="A750" t="s">
        <v>1436</v>
      </c>
      <c r="B750" t="s">
        <v>3329</v>
      </c>
    </row>
    <row r="751" spans="1:2" x14ac:dyDescent="0.3">
      <c r="A751" t="s">
        <v>1438</v>
      </c>
      <c r="B751" t="s">
        <v>3330</v>
      </c>
    </row>
    <row r="752" spans="1:2" x14ac:dyDescent="0.3">
      <c r="A752" t="s">
        <v>1107</v>
      </c>
      <c r="B752" t="s">
        <v>3331</v>
      </c>
    </row>
    <row r="753" spans="1:2" x14ac:dyDescent="0.3">
      <c r="A753" t="s">
        <v>1108</v>
      </c>
      <c r="B753" t="s">
        <v>3332</v>
      </c>
    </row>
    <row r="755" spans="1:2" x14ac:dyDescent="0.3">
      <c r="A755" t="s">
        <v>1444</v>
      </c>
      <c r="B755" t="s">
        <v>3333</v>
      </c>
    </row>
    <row r="756" spans="1:2" x14ac:dyDescent="0.3">
      <c r="A756" t="s">
        <v>1440</v>
      </c>
      <c r="B756" t="s">
        <v>3334</v>
      </c>
    </row>
    <row r="758" spans="1:2" x14ac:dyDescent="0.3">
      <c r="A758" t="s">
        <v>1442</v>
      </c>
      <c r="B758" t="s">
        <v>3335</v>
      </c>
    </row>
    <row r="760" spans="1:2" x14ac:dyDescent="0.3">
      <c r="A760" t="s">
        <v>1446</v>
      </c>
      <c r="B760" t="s">
        <v>3336</v>
      </c>
    </row>
    <row r="761" spans="1:2" x14ac:dyDescent="0.3">
      <c r="A761" t="s">
        <v>1447</v>
      </c>
      <c r="B761" t="s">
        <v>3337</v>
      </c>
    </row>
    <row r="762" spans="1:2" x14ac:dyDescent="0.3">
      <c r="A762" t="s">
        <v>1448</v>
      </c>
      <c r="B762" t="s">
        <v>2682</v>
      </c>
    </row>
    <row r="763" spans="1:2" x14ac:dyDescent="0.3">
      <c r="A763" t="s">
        <v>1449</v>
      </c>
      <c r="B763" t="s">
        <v>3338</v>
      </c>
    </row>
    <row r="764" spans="1:2" x14ac:dyDescent="0.3">
      <c r="A764" t="s">
        <v>1450</v>
      </c>
      <c r="B764" t="s">
        <v>3339</v>
      </c>
    </row>
    <row r="765" spans="1:2" x14ac:dyDescent="0.3">
      <c r="A765" t="s">
        <v>1451</v>
      </c>
      <c r="B765" t="s">
        <v>3340</v>
      </c>
    </row>
    <row r="766" spans="1:2" x14ac:dyDescent="0.3">
      <c r="A766" t="s">
        <v>1452</v>
      </c>
      <c r="B766" t="s">
        <v>3341</v>
      </c>
    </row>
    <row r="767" spans="1:2" x14ac:dyDescent="0.3">
      <c r="A767" t="s">
        <v>1454</v>
      </c>
      <c r="B767" t="s">
        <v>3342</v>
      </c>
    </row>
    <row r="768" spans="1:2" x14ac:dyDescent="0.3">
      <c r="A768" t="s">
        <v>1456</v>
      </c>
      <c r="B768" t="s">
        <v>3343</v>
      </c>
    </row>
    <row r="769" spans="1:2" x14ac:dyDescent="0.3">
      <c r="A769" t="s">
        <v>1457</v>
      </c>
      <c r="B769" t="s">
        <v>3344</v>
      </c>
    </row>
    <row r="771" spans="1:2" x14ac:dyDescent="0.3">
      <c r="A771" t="s">
        <v>1459</v>
      </c>
      <c r="B771" t="s">
        <v>3345</v>
      </c>
    </row>
    <row r="772" spans="1:2" x14ac:dyDescent="0.3">
      <c r="A772" t="s">
        <v>1461</v>
      </c>
      <c r="B772" t="s">
        <v>3346</v>
      </c>
    </row>
    <row r="773" spans="1:2" x14ac:dyDescent="0.3">
      <c r="A773" t="s">
        <v>1463</v>
      </c>
      <c r="B773" t="s">
        <v>3347</v>
      </c>
    </row>
    <row r="775" spans="1:2" x14ac:dyDescent="0.3">
      <c r="A775" t="s">
        <v>1465</v>
      </c>
      <c r="B775" t="s">
        <v>3348</v>
      </c>
    </row>
    <row r="777" spans="1:2" x14ac:dyDescent="0.3">
      <c r="A777" t="s">
        <v>1467</v>
      </c>
      <c r="B777" t="s">
        <v>2624</v>
      </c>
    </row>
    <row r="778" spans="1:2" x14ac:dyDescent="0.3">
      <c r="A778" t="s">
        <v>1469</v>
      </c>
      <c r="B778" t="s">
        <v>2813</v>
      </c>
    </row>
    <row r="779" spans="1:2" x14ac:dyDescent="0.3">
      <c r="A779" t="s">
        <v>1470</v>
      </c>
      <c r="B779" t="s">
        <v>3349</v>
      </c>
    </row>
    <row r="780" spans="1:2" x14ac:dyDescent="0.3">
      <c r="A780" t="s">
        <v>1472</v>
      </c>
      <c r="B780" t="s">
        <v>3350</v>
      </c>
    </row>
    <row r="781" spans="1:2" x14ac:dyDescent="0.3">
      <c r="A781" t="s">
        <v>1474</v>
      </c>
      <c r="B781" t="s">
        <v>3351</v>
      </c>
    </row>
    <row r="782" spans="1:2" x14ac:dyDescent="0.3">
      <c r="A782" t="s">
        <v>1476</v>
      </c>
      <c r="B782" t="s">
        <v>3352</v>
      </c>
    </row>
    <row r="783" spans="1:2" x14ac:dyDescent="0.3">
      <c r="A783" t="s">
        <v>1478</v>
      </c>
      <c r="B783" t="s">
        <v>3353</v>
      </c>
    </row>
    <row r="784" spans="1:2" x14ac:dyDescent="0.3">
      <c r="A784" t="s">
        <v>1480</v>
      </c>
      <c r="B784" t="s">
        <v>3354</v>
      </c>
    </row>
    <row r="785" spans="1:2" x14ac:dyDescent="0.3">
      <c r="A785" t="s">
        <v>1482</v>
      </c>
      <c r="B785" t="s">
        <v>3242</v>
      </c>
    </row>
    <row r="786" spans="1:2" x14ac:dyDescent="0.3">
      <c r="A786" t="s">
        <v>1484</v>
      </c>
      <c r="B786" t="s">
        <v>3355</v>
      </c>
    </row>
    <row r="787" spans="1:2" x14ac:dyDescent="0.3">
      <c r="A787" t="s">
        <v>1486</v>
      </c>
      <c r="B787" t="s">
        <v>3356</v>
      </c>
    </row>
    <row r="788" spans="1:2" x14ac:dyDescent="0.3">
      <c r="A788" t="s">
        <v>1488</v>
      </c>
      <c r="B788" t="s">
        <v>3356</v>
      </c>
    </row>
    <row r="789" spans="1:2" x14ac:dyDescent="0.3">
      <c r="A789" t="s">
        <v>1489</v>
      </c>
      <c r="B789" t="s">
        <v>3357</v>
      </c>
    </row>
    <row r="790" spans="1:2" x14ac:dyDescent="0.3">
      <c r="A790" t="s">
        <v>1491</v>
      </c>
      <c r="B790" t="s">
        <v>3358</v>
      </c>
    </row>
    <row r="791" spans="1:2" x14ac:dyDescent="0.3">
      <c r="A791" t="s">
        <v>1493</v>
      </c>
      <c r="B791" t="s">
        <v>2637</v>
      </c>
    </row>
    <row r="792" spans="1:2" x14ac:dyDescent="0.3">
      <c r="A792" t="s">
        <v>1495</v>
      </c>
      <c r="B792" t="s">
        <v>3359</v>
      </c>
    </row>
    <row r="793" spans="1:2" x14ac:dyDescent="0.3">
      <c r="A793" t="s">
        <v>1497</v>
      </c>
      <c r="B793" t="s">
        <v>3360</v>
      </c>
    </row>
    <row r="794" spans="1:2" x14ac:dyDescent="0.3">
      <c r="A794" t="s">
        <v>1499</v>
      </c>
      <c r="B794" t="s">
        <v>3361</v>
      </c>
    </row>
    <row r="795" spans="1:2" x14ac:dyDescent="0.3">
      <c r="A795" t="s">
        <v>1501</v>
      </c>
      <c r="B795" t="s">
        <v>3362</v>
      </c>
    </row>
    <row r="796" spans="1:2" x14ac:dyDescent="0.3">
      <c r="A796" t="s">
        <v>1503</v>
      </c>
      <c r="B796" t="s">
        <v>3363</v>
      </c>
    </row>
    <row r="797" spans="1:2" x14ac:dyDescent="0.3">
      <c r="A797" t="s">
        <v>1505</v>
      </c>
      <c r="B797" t="s">
        <v>3364</v>
      </c>
    </row>
    <row r="798" spans="1:2" x14ac:dyDescent="0.3">
      <c r="A798" t="s">
        <v>1507</v>
      </c>
      <c r="B798" t="s">
        <v>3365</v>
      </c>
    </row>
    <row r="799" spans="1:2" x14ac:dyDescent="0.3">
      <c r="A799" t="s">
        <v>1509</v>
      </c>
      <c r="B799" t="s">
        <v>3049</v>
      </c>
    </row>
    <row r="800" spans="1:2" x14ac:dyDescent="0.3">
      <c r="A800" t="s">
        <v>1510</v>
      </c>
      <c r="B800" t="s">
        <v>3366</v>
      </c>
    </row>
    <row r="801" spans="1:2" x14ac:dyDescent="0.3">
      <c r="A801" t="s">
        <v>1511</v>
      </c>
      <c r="B801" t="s">
        <v>3367</v>
      </c>
    </row>
    <row r="802" spans="1:2" x14ac:dyDescent="0.3">
      <c r="A802" t="s">
        <v>1513</v>
      </c>
      <c r="B802" t="s">
        <v>3368</v>
      </c>
    </row>
    <row r="803" spans="1:2" x14ac:dyDescent="0.3">
      <c r="A803" t="s">
        <v>1515</v>
      </c>
      <c r="B803" t="s">
        <v>3369</v>
      </c>
    </row>
    <row r="804" spans="1:2" x14ac:dyDescent="0.3">
      <c r="A804" t="s">
        <v>1517</v>
      </c>
      <c r="B804" t="s">
        <v>3370</v>
      </c>
    </row>
    <row r="805" spans="1:2" x14ac:dyDescent="0.3">
      <c r="A805" t="s">
        <v>1519</v>
      </c>
      <c r="B805" t="s">
        <v>3371</v>
      </c>
    </row>
    <row r="806" spans="1:2" x14ac:dyDescent="0.3">
      <c r="A806" t="s">
        <v>1521</v>
      </c>
      <c r="B806" t="s">
        <v>3372</v>
      </c>
    </row>
    <row r="807" spans="1:2" x14ac:dyDescent="0.3">
      <c r="A807" t="s">
        <v>1523</v>
      </c>
      <c r="B807" t="s">
        <v>3373</v>
      </c>
    </row>
    <row r="809" spans="1:2" x14ac:dyDescent="0.3">
      <c r="A809" t="s">
        <v>1525</v>
      </c>
      <c r="B809" t="s">
        <v>3374</v>
      </c>
    </row>
    <row r="810" spans="1:2" x14ac:dyDescent="0.3">
      <c r="A810" t="s">
        <v>1527</v>
      </c>
      <c r="B810" t="s">
        <v>3375</v>
      </c>
    </row>
    <row r="811" spans="1:2" x14ac:dyDescent="0.3">
      <c r="A811" t="s">
        <v>1529</v>
      </c>
      <c r="B811" t="s">
        <v>3376</v>
      </c>
    </row>
    <row r="812" spans="1:2" x14ac:dyDescent="0.3">
      <c r="A812" t="s">
        <v>1531</v>
      </c>
      <c r="B812" t="s">
        <v>3377</v>
      </c>
    </row>
    <row r="814" spans="1:2" x14ac:dyDescent="0.3">
      <c r="A814" t="s">
        <v>1532</v>
      </c>
      <c r="B814" t="s">
        <v>3378</v>
      </c>
    </row>
    <row r="815" spans="1:2" x14ac:dyDescent="0.3">
      <c r="A815" t="s">
        <v>1534</v>
      </c>
      <c r="B815" t="s">
        <v>3379</v>
      </c>
    </row>
    <row r="816" spans="1:2" x14ac:dyDescent="0.3">
      <c r="A816" t="s">
        <v>1535</v>
      </c>
      <c r="B816" t="s">
        <v>3380</v>
      </c>
    </row>
    <row r="817" spans="1:2" x14ac:dyDescent="0.3">
      <c r="A817" t="s">
        <v>1537</v>
      </c>
      <c r="B817" t="s">
        <v>3381</v>
      </c>
    </row>
    <row r="818" spans="1:2" x14ac:dyDescent="0.3">
      <c r="A818" t="s">
        <v>1539</v>
      </c>
      <c r="B818" t="s">
        <v>3382</v>
      </c>
    </row>
    <row r="819" spans="1:2" x14ac:dyDescent="0.3">
      <c r="A819" t="s">
        <v>1541</v>
      </c>
      <c r="B819" t="s">
        <v>3383</v>
      </c>
    </row>
    <row r="820" spans="1:2" x14ac:dyDescent="0.3">
      <c r="A820" t="s">
        <v>1543</v>
      </c>
      <c r="B820" t="s">
        <v>3384</v>
      </c>
    </row>
    <row r="821" spans="1:2" x14ac:dyDescent="0.3">
      <c r="A821" t="s">
        <v>1545</v>
      </c>
      <c r="B821" t="s">
        <v>3385</v>
      </c>
    </row>
    <row r="822" spans="1:2" x14ac:dyDescent="0.3">
      <c r="A822" t="s">
        <v>1547</v>
      </c>
      <c r="B822" t="s">
        <v>3386</v>
      </c>
    </row>
    <row r="823" spans="1:2" x14ac:dyDescent="0.3">
      <c r="A823" t="s">
        <v>1549</v>
      </c>
      <c r="B823" t="s">
        <v>3387</v>
      </c>
    </row>
    <row r="824" spans="1:2" x14ac:dyDescent="0.3">
      <c r="A824" t="s">
        <v>1551</v>
      </c>
      <c r="B824" t="s">
        <v>3388</v>
      </c>
    </row>
    <row r="825" spans="1:2" x14ac:dyDescent="0.3">
      <c r="A825" t="s">
        <v>1553</v>
      </c>
      <c r="B825" t="s">
        <v>3389</v>
      </c>
    </row>
    <row r="826" spans="1:2" x14ac:dyDescent="0.3">
      <c r="A826" t="s">
        <v>1555</v>
      </c>
      <c r="B826" t="s">
        <v>3390</v>
      </c>
    </row>
    <row r="827" spans="1:2" x14ac:dyDescent="0.3">
      <c r="A827" t="s">
        <v>1557</v>
      </c>
      <c r="B827" t="s">
        <v>3391</v>
      </c>
    </row>
    <row r="828" spans="1:2" x14ac:dyDescent="0.3">
      <c r="A828" t="s">
        <v>1559</v>
      </c>
      <c r="B828" t="s">
        <v>3392</v>
      </c>
    </row>
    <row r="829" spans="1:2" x14ac:dyDescent="0.3">
      <c r="A829" t="s">
        <v>1561</v>
      </c>
      <c r="B829" t="s">
        <v>3393</v>
      </c>
    </row>
    <row r="830" spans="1:2" x14ac:dyDescent="0.3">
      <c r="A830" t="s">
        <v>1563</v>
      </c>
      <c r="B830" t="s">
        <v>3394</v>
      </c>
    </row>
    <row r="831" spans="1:2" x14ac:dyDescent="0.3">
      <c r="A831" t="s">
        <v>1565</v>
      </c>
      <c r="B831" t="s">
        <v>3395</v>
      </c>
    </row>
    <row r="832" spans="1:2" x14ac:dyDescent="0.3">
      <c r="A832" t="s">
        <v>1567</v>
      </c>
      <c r="B832" t="s">
        <v>3396</v>
      </c>
    </row>
    <row r="833" spans="1:2" x14ac:dyDescent="0.3">
      <c r="A833" t="s">
        <v>1569</v>
      </c>
      <c r="B833" t="s">
        <v>3397</v>
      </c>
    </row>
    <row r="834" spans="1:2" x14ac:dyDescent="0.3">
      <c r="A834" t="s">
        <v>1571</v>
      </c>
      <c r="B834" t="s">
        <v>3398</v>
      </c>
    </row>
    <row r="835" spans="1:2" x14ac:dyDescent="0.3">
      <c r="A835" t="s">
        <v>1573</v>
      </c>
      <c r="B835" t="s">
        <v>3399</v>
      </c>
    </row>
    <row r="836" spans="1:2" x14ac:dyDescent="0.3">
      <c r="A836" t="s">
        <v>1575</v>
      </c>
      <c r="B836" t="s">
        <v>3400</v>
      </c>
    </row>
    <row r="837" spans="1:2" x14ac:dyDescent="0.3">
      <c r="A837" t="s">
        <v>1577</v>
      </c>
      <c r="B837" t="s">
        <v>3401</v>
      </c>
    </row>
    <row r="838" spans="1:2" x14ac:dyDescent="0.3">
      <c r="A838" t="s">
        <v>1579</v>
      </c>
      <c r="B838" t="s">
        <v>3402</v>
      </c>
    </row>
    <row r="839" spans="1:2" x14ac:dyDescent="0.3">
      <c r="A839" t="s">
        <v>1581</v>
      </c>
      <c r="B839" t="s">
        <v>3403</v>
      </c>
    </row>
    <row r="840" spans="1:2" x14ac:dyDescent="0.3">
      <c r="A840" t="s">
        <v>1583</v>
      </c>
      <c r="B840" t="s">
        <v>3404</v>
      </c>
    </row>
    <row r="841" spans="1:2" x14ac:dyDescent="0.3">
      <c r="A841" t="s">
        <v>1585</v>
      </c>
      <c r="B841" t="s">
        <v>3405</v>
      </c>
    </row>
    <row r="842" spans="1:2" x14ac:dyDescent="0.3">
      <c r="A842" t="s">
        <v>1587</v>
      </c>
      <c r="B842" t="s">
        <v>3406</v>
      </c>
    </row>
    <row r="843" spans="1:2" x14ac:dyDescent="0.3">
      <c r="A843" t="s">
        <v>1589</v>
      </c>
      <c r="B843" t="s">
        <v>3407</v>
      </c>
    </row>
    <row r="844" spans="1:2" x14ac:dyDescent="0.3">
      <c r="A844" t="s">
        <v>1591</v>
      </c>
      <c r="B844" t="s">
        <v>3408</v>
      </c>
    </row>
    <row r="845" spans="1:2" x14ac:dyDescent="0.3">
      <c r="A845" t="s">
        <v>1593</v>
      </c>
      <c r="B845" t="s">
        <v>3409</v>
      </c>
    </row>
    <row r="846" spans="1:2" x14ac:dyDescent="0.3">
      <c r="A846" t="s">
        <v>1595</v>
      </c>
      <c r="B846" t="s">
        <v>3410</v>
      </c>
    </row>
    <row r="847" spans="1:2" x14ac:dyDescent="0.3">
      <c r="A847" t="s">
        <v>1597</v>
      </c>
      <c r="B847" t="s">
        <v>3411</v>
      </c>
    </row>
    <row r="848" spans="1:2" x14ac:dyDescent="0.3">
      <c r="A848" t="s">
        <v>1599</v>
      </c>
      <c r="B848" t="s">
        <v>3412</v>
      </c>
    </row>
    <row r="849" spans="1:2" x14ac:dyDescent="0.3">
      <c r="A849" t="s">
        <v>1601</v>
      </c>
      <c r="B849" t="s">
        <v>3413</v>
      </c>
    </row>
    <row r="850" spans="1:2" x14ac:dyDescent="0.3">
      <c r="A850" t="s">
        <v>1603</v>
      </c>
      <c r="B850" t="s">
        <v>3414</v>
      </c>
    </row>
    <row r="852" spans="1:2" x14ac:dyDescent="0.3">
      <c r="A852" t="s">
        <v>1605</v>
      </c>
      <c r="B852" t="s">
        <v>3415</v>
      </c>
    </row>
    <row r="853" spans="1:2" x14ac:dyDescent="0.3">
      <c r="A853" t="s">
        <v>1607</v>
      </c>
      <c r="B853" t="s">
        <v>3416</v>
      </c>
    </row>
    <row r="854" spans="1:2" x14ac:dyDescent="0.3">
      <c r="A854" t="s">
        <v>1609</v>
      </c>
      <c r="B854" t="s">
        <v>3417</v>
      </c>
    </row>
    <row r="855" spans="1:2" x14ac:dyDescent="0.3">
      <c r="A855" t="s">
        <v>1611</v>
      </c>
      <c r="B855" t="s">
        <v>3418</v>
      </c>
    </row>
    <row r="857" spans="1:2" x14ac:dyDescent="0.3">
      <c r="A857" t="s">
        <v>1613</v>
      </c>
      <c r="B857" t="s">
        <v>3419</v>
      </c>
    </row>
    <row r="858" spans="1:2" x14ac:dyDescent="0.3">
      <c r="A858" t="s">
        <v>1615</v>
      </c>
      <c r="B858" t="s">
        <v>3420</v>
      </c>
    </row>
    <row r="859" spans="1:2" x14ac:dyDescent="0.3">
      <c r="A859" t="s">
        <v>1617</v>
      </c>
      <c r="B859" t="s">
        <v>3421</v>
      </c>
    </row>
    <row r="861" spans="1:2" x14ac:dyDescent="0.3">
      <c r="A861" t="s">
        <v>1111</v>
      </c>
      <c r="B861" t="s">
        <v>3324</v>
      </c>
    </row>
    <row r="862" spans="1:2" x14ac:dyDescent="0.3">
      <c r="A862" t="s">
        <v>1113</v>
      </c>
      <c r="B862" t="s">
        <v>3325</v>
      </c>
    </row>
    <row r="863" spans="1:2" x14ac:dyDescent="0.3">
      <c r="A863" t="s">
        <v>1619</v>
      </c>
      <c r="B863" t="s">
        <v>3422</v>
      </c>
    </row>
    <row r="864" spans="1:2" x14ac:dyDescent="0.3">
      <c r="A864" t="s">
        <v>1621</v>
      </c>
      <c r="B864" t="s">
        <v>3423</v>
      </c>
    </row>
    <row r="866" spans="1:2" x14ac:dyDescent="0.3">
      <c r="A866" t="s">
        <v>1623</v>
      </c>
      <c r="B866" t="s">
        <v>2673</v>
      </c>
    </row>
    <row r="868" spans="1:2" x14ac:dyDescent="0.3">
      <c r="A868" t="s">
        <v>1624</v>
      </c>
      <c r="B868" t="s">
        <v>3324</v>
      </c>
    </row>
    <row r="869" spans="1:2" x14ac:dyDescent="0.3">
      <c r="A869" t="s">
        <v>1625</v>
      </c>
      <c r="B869" t="s">
        <v>3325</v>
      </c>
    </row>
    <row r="871" spans="1:2" x14ac:dyDescent="0.3">
      <c r="A871" t="s">
        <v>1627</v>
      </c>
      <c r="B871" t="s">
        <v>3135</v>
      </c>
    </row>
    <row r="872" spans="1:2" x14ac:dyDescent="0.3">
      <c r="A872" t="s">
        <v>1628</v>
      </c>
      <c r="B872" t="s">
        <v>3424</v>
      </c>
    </row>
    <row r="874" spans="1:2" x14ac:dyDescent="0.3">
      <c r="A874" t="s">
        <v>1630</v>
      </c>
      <c r="B874" t="s">
        <v>3425</v>
      </c>
    </row>
    <row r="875" spans="1:2" x14ac:dyDescent="0.3">
      <c r="A875" t="s">
        <v>1632</v>
      </c>
      <c r="B875" t="s">
        <v>3426</v>
      </c>
    </row>
    <row r="876" spans="1:2" x14ac:dyDescent="0.3">
      <c r="A876" t="s">
        <v>1634</v>
      </c>
      <c r="B876" t="s">
        <v>3427</v>
      </c>
    </row>
    <row r="877" spans="1:2" x14ac:dyDescent="0.3">
      <c r="A877" t="s">
        <v>1636</v>
      </c>
      <c r="B877" t="s">
        <v>3428</v>
      </c>
    </row>
    <row r="878" spans="1:2" x14ac:dyDescent="0.3">
      <c r="A878" t="s">
        <v>1638</v>
      </c>
      <c r="B878" t="s">
        <v>3429</v>
      </c>
    </row>
    <row r="880" spans="1:2" x14ac:dyDescent="0.3">
      <c r="A880" t="s">
        <v>1640</v>
      </c>
      <c r="B880" t="s">
        <v>2676</v>
      </c>
    </row>
    <row r="881" spans="1:2" x14ac:dyDescent="0.3">
      <c r="A881" t="s">
        <v>1642</v>
      </c>
      <c r="B881" t="s">
        <v>3430</v>
      </c>
    </row>
    <row r="882" spans="1:2" x14ac:dyDescent="0.3">
      <c r="A882" t="s">
        <v>1644</v>
      </c>
      <c r="B882" t="s">
        <v>3431</v>
      </c>
    </row>
    <row r="883" spans="1:2" x14ac:dyDescent="0.3">
      <c r="A883" t="s">
        <v>1646</v>
      </c>
      <c r="B883" t="s">
        <v>3432</v>
      </c>
    </row>
    <row r="884" spans="1:2" x14ac:dyDescent="0.3">
      <c r="A884" t="s">
        <v>1648</v>
      </c>
      <c r="B884" t="s">
        <v>2678</v>
      </c>
    </row>
    <row r="885" spans="1:2" x14ac:dyDescent="0.3">
      <c r="A885" t="s">
        <v>1650</v>
      </c>
      <c r="B885" t="s">
        <v>2679</v>
      </c>
    </row>
    <row r="887" spans="1:2" x14ac:dyDescent="0.3">
      <c r="A887" t="s">
        <v>1652</v>
      </c>
      <c r="B887" t="s">
        <v>1653</v>
      </c>
    </row>
    <row r="888" spans="1:2" x14ac:dyDescent="0.3">
      <c r="A888" t="s">
        <v>1654</v>
      </c>
      <c r="B888" t="s">
        <v>3433</v>
      </c>
    </row>
    <row r="889" spans="1:2" x14ac:dyDescent="0.3">
      <c r="A889" t="s">
        <v>1656</v>
      </c>
      <c r="B889" t="s">
        <v>3434</v>
      </c>
    </row>
    <row r="890" spans="1:2" x14ac:dyDescent="0.3">
      <c r="A890" t="s">
        <v>1658</v>
      </c>
      <c r="B890" t="s">
        <v>3435</v>
      </c>
    </row>
    <row r="891" spans="1:2" x14ac:dyDescent="0.3">
      <c r="A891" t="s">
        <v>1660</v>
      </c>
      <c r="B891" t="s">
        <v>3436</v>
      </c>
    </row>
    <row r="892" spans="1:2" x14ac:dyDescent="0.3">
      <c r="A892" t="s">
        <v>1662</v>
      </c>
      <c r="B892" t="s">
        <v>3437</v>
      </c>
    </row>
    <row r="894" spans="1:2" x14ac:dyDescent="0.3">
      <c r="A894" t="s">
        <v>1664</v>
      </c>
      <c r="B894" t="s">
        <v>3438</v>
      </c>
    </row>
    <row r="896" spans="1:2" x14ac:dyDescent="0.3">
      <c r="A896" t="s">
        <v>1666</v>
      </c>
      <c r="B896" t="s">
        <v>3439</v>
      </c>
    </row>
    <row r="897" spans="1:2" x14ac:dyDescent="0.3">
      <c r="A897" t="s">
        <v>1668</v>
      </c>
      <c r="B897" t="s">
        <v>3440</v>
      </c>
    </row>
    <row r="898" spans="1:2" x14ac:dyDescent="0.3">
      <c r="A898" t="s">
        <v>1670</v>
      </c>
      <c r="B898" t="s">
        <v>3441</v>
      </c>
    </row>
    <row r="900" spans="1:2" x14ac:dyDescent="0.3">
      <c r="A900" t="s">
        <v>1672</v>
      </c>
      <c r="B900" t="s">
        <v>3442</v>
      </c>
    </row>
    <row r="902" spans="1:2" x14ac:dyDescent="0.3">
      <c r="A902" t="s">
        <v>1674</v>
      </c>
      <c r="B902" t="s">
        <v>3238</v>
      </c>
    </row>
    <row r="904" spans="1:2" x14ac:dyDescent="0.3">
      <c r="A904" t="s">
        <v>1676</v>
      </c>
      <c r="B904" t="s">
        <v>3443</v>
      </c>
    </row>
    <row r="906" spans="1:2" x14ac:dyDescent="0.3">
      <c r="A906" t="s">
        <v>1678</v>
      </c>
      <c r="B906" t="s">
        <v>1825</v>
      </c>
    </row>
    <row r="907" spans="1:2" x14ac:dyDescent="0.3">
      <c r="A907" t="s">
        <v>1680</v>
      </c>
      <c r="B907" t="s">
        <v>3444</v>
      </c>
    </row>
    <row r="909" spans="1:2" x14ac:dyDescent="0.3">
      <c r="A909" t="s">
        <v>1682</v>
      </c>
      <c r="B909" t="s">
        <v>3445</v>
      </c>
    </row>
    <row r="910" spans="1:2" x14ac:dyDescent="0.3">
      <c r="A910" t="s">
        <v>1684</v>
      </c>
      <c r="B910" t="s">
        <v>3446</v>
      </c>
    </row>
    <row r="911" spans="1:2" x14ac:dyDescent="0.3">
      <c r="A911" t="s">
        <v>1686</v>
      </c>
      <c r="B911" t="s">
        <v>3447</v>
      </c>
    </row>
    <row r="912" spans="1:2" x14ac:dyDescent="0.3">
      <c r="A912" t="s">
        <v>1688</v>
      </c>
      <c r="B912" t="s">
        <v>3448</v>
      </c>
    </row>
    <row r="913" spans="1:2" x14ac:dyDescent="0.3">
      <c r="A913" t="s">
        <v>1689</v>
      </c>
      <c r="B913" t="s">
        <v>3449</v>
      </c>
    </row>
    <row r="914" spans="1:2" x14ac:dyDescent="0.3">
      <c r="A914" t="s">
        <v>1691</v>
      </c>
      <c r="B914" t="s">
        <v>3450</v>
      </c>
    </row>
    <row r="915" spans="1:2" x14ac:dyDescent="0.3">
      <c r="A915" t="s">
        <v>1693</v>
      </c>
      <c r="B915" t="s">
        <v>3451</v>
      </c>
    </row>
    <row r="916" spans="1:2" x14ac:dyDescent="0.3">
      <c r="A916" t="s">
        <v>1695</v>
      </c>
      <c r="B916" t="s">
        <v>3452</v>
      </c>
    </row>
    <row r="917" spans="1:2" x14ac:dyDescent="0.3">
      <c r="A917" t="s">
        <v>1697</v>
      </c>
      <c r="B917" t="s">
        <v>3453</v>
      </c>
    </row>
    <row r="918" spans="1:2" x14ac:dyDescent="0.3">
      <c r="A918" t="s">
        <v>1699</v>
      </c>
      <c r="B918" t="s">
        <v>3454</v>
      </c>
    </row>
    <row r="919" spans="1:2" x14ac:dyDescent="0.3">
      <c r="A919" t="s">
        <v>1701</v>
      </c>
      <c r="B919" t="s">
        <v>3455</v>
      </c>
    </row>
    <row r="920" spans="1:2" x14ac:dyDescent="0.3">
      <c r="A920" t="s">
        <v>1703</v>
      </c>
      <c r="B920" t="s">
        <v>3456</v>
      </c>
    </row>
    <row r="921" spans="1:2" x14ac:dyDescent="0.3">
      <c r="A921" t="s">
        <v>1705</v>
      </c>
      <c r="B921" t="s">
        <v>3457</v>
      </c>
    </row>
    <row r="922" spans="1:2" x14ac:dyDescent="0.3">
      <c r="A922" t="s">
        <v>1707</v>
      </c>
      <c r="B922" t="s">
        <v>3458</v>
      </c>
    </row>
    <row r="923" spans="1:2" x14ac:dyDescent="0.3">
      <c r="A923" t="s">
        <v>1709</v>
      </c>
      <c r="B923" t="s">
        <v>3459</v>
      </c>
    </row>
    <row r="924" spans="1:2" x14ac:dyDescent="0.3">
      <c r="A924" t="s">
        <v>1711</v>
      </c>
      <c r="B924" t="s">
        <v>3460</v>
      </c>
    </row>
    <row r="925" spans="1:2" x14ac:dyDescent="0.3">
      <c r="A925" t="s">
        <v>1713</v>
      </c>
      <c r="B925" t="s">
        <v>3222</v>
      </c>
    </row>
    <row r="926" spans="1:2" x14ac:dyDescent="0.3">
      <c r="A926" t="s">
        <v>1715</v>
      </c>
      <c r="B926" t="s">
        <v>3461</v>
      </c>
    </row>
    <row r="927" spans="1:2" x14ac:dyDescent="0.3">
      <c r="A927" t="s">
        <v>1717</v>
      </c>
      <c r="B927" t="s">
        <v>3462</v>
      </c>
    </row>
    <row r="928" spans="1:2" x14ac:dyDescent="0.3">
      <c r="A928" t="s">
        <v>1719</v>
      </c>
      <c r="B928" t="s">
        <v>3463</v>
      </c>
    </row>
    <row r="929" spans="1:2" x14ac:dyDescent="0.3">
      <c r="A929" t="s">
        <v>1721</v>
      </c>
      <c r="B929" t="s">
        <v>3464</v>
      </c>
    </row>
    <row r="930" spans="1:2" x14ac:dyDescent="0.3">
      <c r="A930" t="s">
        <v>1723</v>
      </c>
      <c r="B930" t="s">
        <v>3035</v>
      </c>
    </row>
    <row r="931" spans="1:2" x14ac:dyDescent="0.3">
      <c r="A931" t="s">
        <v>1725</v>
      </c>
      <c r="B931" t="s">
        <v>3465</v>
      </c>
    </row>
    <row r="932" spans="1:2" x14ac:dyDescent="0.3">
      <c r="A932" t="s">
        <v>1727</v>
      </c>
      <c r="B932" t="s">
        <v>3466</v>
      </c>
    </row>
    <row r="933" spans="1:2" x14ac:dyDescent="0.3">
      <c r="A933" t="s">
        <v>1728</v>
      </c>
      <c r="B933" t="s">
        <v>3467</v>
      </c>
    </row>
    <row r="934" spans="1:2" x14ac:dyDescent="0.3">
      <c r="A934" t="s">
        <v>1730</v>
      </c>
      <c r="B934" t="s">
        <v>3468</v>
      </c>
    </row>
    <row r="935" spans="1:2" x14ac:dyDescent="0.3">
      <c r="A935" t="s">
        <v>1732</v>
      </c>
      <c r="B935" t="s">
        <v>3469</v>
      </c>
    </row>
    <row r="936" spans="1:2" x14ac:dyDescent="0.3">
      <c r="A936" t="s">
        <v>1734</v>
      </c>
      <c r="B936" t="s">
        <v>1735</v>
      </c>
    </row>
    <row r="937" spans="1:2" x14ac:dyDescent="0.3">
      <c r="A937" t="s">
        <v>1736</v>
      </c>
      <c r="B937" t="s">
        <v>3470</v>
      </c>
    </row>
    <row r="938" spans="1:2" x14ac:dyDescent="0.3">
      <c r="A938" t="s">
        <v>1738</v>
      </c>
      <c r="B938" t="s">
        <v>3471</v>
      </c>
    </row>
    <row r="939" spans="1:2" x14ac:dyDescent="0.3">
      <c r="A939" t="s">
        <v>1740</v>
      </c>
      <c r="B939" t="s">
        <v>3472</v>
      </c>
    </row>
    <row r="940" spans="1:2" x14ac:dyDescent="0.3">
      <c r="A940" t="s">
        <v>1742</v>
      </c>
      <c r="B940" t="s">
        <v>3473</v>
      </c>
    </row>
    <row r="941" spans="1:2" x14ac:dyDescent="0.3">
      <c r="A941" t="s">
        <v>1744</v>
      </c>
      <c r="B941" t="s">
        <v>1745</v>
      </c>
    </row>
    <row r="942" spans="1:2" x14ac:dyDescent="0.3">
      <c r="A942" t="s">
        <v>1746</v>
      </c>
      <c r="B942" t="s">
        <v>1657</v>
      </c>
    </row>
    <row r="943" spans="1:2" x14ac:dyDescent="0.3">
      <c r="A943" t="s">
        <v>1747</v>
      </c>
      <c r="B943" t="s">
        <v>1748</v>
      </c>
    </row>
    <row r="944" spans="1:2" x14ac:dyDescent="0.3">
      <c r="A944" t="s">
        <v>1749</v>
      </c>
      <c r="B944" t="s">
        <v>1750</v>
      </c>
    </row>
    <row r="945" spans="1:2" x14ac:dyDescent="0.3">
      <c r="A945" t="s">
        <v>1751</v>
      </c>
      <c r="B945" t="s">
        <v>3474</v>
      </c>
    </row>
    <row r="947" spans="1:2" x14ac:dyDescent="0.3">
      <c r="A947" t="s">
        <v>1753</v>
      </c>
      <c r="B947" t="s">
        <v>3281</v>
      </c>
    </row>
    <row r="948" spans="1:2" x14ac:dyDescent="0.3">
      <c r="A948" t="s">
        <v>1755</v>
      </c>
      <c r="B948" t="s">
        <v>3281</v>
      </c>
    </row>
    <row r="949" spans="1:2" x14ac:dyDescent="0.3">
      <c r="A949" t="s">
        <v>1756</v>
      </c>
      <c r="B949" t="s">
        <v>3475</v>
      </c>
    </row>
    <row r="950" spans="1:2" x14ac:dyDescent="0.3">
      <c r="A950" t="s">
        <v>1758</v>
      </c>
      <c r="B950" t="s">
        <v>3476</v>
      </c>
    </row>
    <row r="952" spans="1:2" x14ac:dyDescent="0.3">
      <c r="A952" t="s">
        <v>1760</v>
      </c>
      <c r="B952" t="s">
        <v>3477</v>
      </c>
    </row>
    <row r="953" spans="1:2" x14ac:dyDescent="0.3">
      <c r="A953" t="s">
        <v>1762</v>
      </c>
      <c r="B953" t="s">
        <v>3478</v>
      </c>
    </row>
    <row r="954" spans="1:2" x14ac:dyDescent="0.3">
      <c r="A954" t="s">
        <v>1764</v>
      </c>
      <c r="B954" t="s">
        <v>3479</v>
      </c>
    </row>
    <row r="956" spans="1:2" x14ac:dyDescent="0.3">
      <c r="A956" t="s">
        <v>1766</v>
      </c>
      <c r="B956" t="s">
        <v>3480</v>
      </c>
    </row>
    <row r="957" spans="1:2" x14ac:dyDescent="0.3">
      <c r="A957" t="s">
        <v>1768</v>
      </c>
      <c r="B957" t="s">
        <v>3481</v>
      </c>
    </row>
    <row r="958" spans="1:2" x14ac:dyDescent="0.3">
      <c r="A958" t="s">
        <v>1770</v>
      </c>
      <c r="B958" t="s">
        <v>3482</v>
      </c>
    </row>
    <row r="959" spans="1:2" x14ac:dyDescent="0.3">
      <c r="A959" t="s">
        <v>1772</v>
      </c>
      <c r="B959" t="s">
        <v>3483</v>
      </c>
    </row>
    <row r="960" spans="1:2" x14ac:dyDescent="0.3">
      <c r="A960" t="s">
        <v>1774</v>
      </c>
      <c r="B960" t="s">
        <v>1775</v>
      </c>
    </row>
    <row r="962" spans="1:2" x14ac:dyDescent="0.3">
      <c r="A962" t="s">
        <v>1776</v>
      </c>
      <c r="B962" t="s">
        <v>1777</v>
      </c>
    </row>
    <row r="963" spans="1:2" x14ac:dyDescent="0.3">
      <c r="A963" t="s">
        <v>1778</v>
      </c>
      <c r="B963" t="s">
        <v>1779</v>
      </c>
    </row>
    <row r="964" spans="1:2" x14ac:dyDescent="0.3">
      <c r="A964" t="s">
        <v>1780</v>
      </c>
      <c r="B964" t="s">
        <v>1781</v>
      </c>
    </row>
    <row r="965" spans="1:2" x14ac:dyDescent="0.3">
      <c r="A965" t="s">
        <v>1782</v>
      </c>
      <c r="B965" t="s">
        <v>1783</v>
      </c>
    </row>
    <row r="966" spans="1:2" x14ac:dyDescent="0.3">
      <c r="A966" t="s">
        <v>1784</v>
      </c>
      <c r="B966" t="s">
        <v>1785</v>
      </c>
    </row>
    <row r="967" spans="1:2" x14ac:dyDescent="0.3">
      <c r="A967" t="s">
        <v>1786</v>
      </c>
      <c r="B967" t="s">
        <v>1787</v>
      </c>
    </row>
    <row r="968" spans="1:2" x14ac:dyDescent="0.3">
      <c r="A968" t="s">
        <v>1788</v>
      </c>
      <c r="B968" t="s">
        <v>1789</v>
      </c>
    </row>
    <row r="969" spans="1:2" x14ac:dyDescent="0.3">
      <c r="A969" t="s">
        <v>1790</v>
      </c>
      <c r="B969" t="s">
        <v>1791</v>
      </c>
    </row>
    <row r="970" spans="1:2" x14ac:dyDescent="0.3">
      <c r="A970" t="s">
        <v>1792</v>
      </c>
      <c r="B970" t="s">
        <v>1793</v>
      </c>
    </row>
    <row r="971" spans="1:2" x14ac:dyDescent="0.3">
      <c r="A971" t="s">
        <v>1794</v>
      </c>
      <c r="B971" t="s">
        <v>1795</v>
      </c>
    </row>
    <row r="972" spans="1:2" x14ac:dyDescent="0.3">
      <c r="A972" t="s">
        <v>1796</v>
      </c>
      <c r="B972" t="s">
        <v>1797</v>
      </c>
    </row>
    <row r="973" spans="1:2" x14ac:dyDescent="0.3">
      <c r="A973" t="s">
        <v>1798</v>
      </c>
      <c r="B973" t="s">
        <v>1799</v>
      </c>
    </row>
    <row r="974" spans="1:2" x14ac:dyDescent="0.3">
      <c r="A974" t="s">
        <v>1800</v>
      </c>
      <c r="B974" t="s">
        <v>1801</v>
      </c>
    </row>
    <row r="975" spans="1:2" x14ac:dyDescent="0.3">
      <c r="A975" t="s">
        <v>1802</v>
      </c>
      <c r="B975" t="s">
        <v>1803</v>
      </c>
    </row>
    <row r="976" spans="1:2" x14ac:dyDescent="0.3">
      <c r="A976" t="s">
        <v>1804</v>
      </c>
      <c r="B976" t="s">
        <v>1805</v>
      </c>
    </row>
    <row r="977" spans="1:2" x14ac:dyDescent="0.3">
      <c r="A977" t="s">
        <v>1806</v>
      </c>
      <c r="B977" t="s">
        <v>1807</v>
      </c>
    </row>
    <row r="978" spans="1:2" x14ac:dyDescent="0.3">
      <c r="A978" t="s">
        <v>1808</v>
      </c>
      <c r="B978" t="s">
        <v>3484</v>
      </c>
    </row>
    <row r="979" spans="1:2" x14ac:dyDescent="0.3">
      <c r="A979" t="s">
        <v>1810</v>
      </c>
      <c r="B979" t="s">
        <v>3485</v>
      </c>
    </row>
    <row r="980" spans="1:2" x14ac:dyDescent="0.3">
      <c r="A980" t="s">
        <v>1812</v>
      </c>
      <c r="B980" t="s">
        <v>1813</v>
      </c>
    </row>
    <row r="981" spans="1:2" x14ac:dyDescent="0.3">
      <c r="A981" t="s">
        <v>1814</v>
      </c>
      <c r="B981" t="s">
        <v>3486</v>
      </c>
    </row>
    <row r="982" spans="1:2" x14ac:dyDescent="0.3">
      <c r="A982" t="s">
        <v>1815</v>
      </c>
      <c r="B982" t="s">
        <v>3487</v>
      </c>
    </row>
    <row r="983" spans="1:2" x14ac:dyDescent="0.3">
      <c r="A983" t="s">
        <v>1817</v>
      </c>
      <c r="B983" t="s">
        <v>3488</v>
      </c>
    </row>
    <row r="984" spans="1:2" x14ac:dyDescent="0.3">
      <c r="A984" t="s">
        <v>1819</v>
      </c>
      <c r="B984" t="s">
        <v>3489</v>
      </c>
    </row>
    <row r="985" spans="1:2" x14ac:dyDescent="0.3">
      <c r="A985" t="s">
        <v>1820</v>
      </c>
      <c r="B985" t="s">
        <v>3293</v>
      </c>
    </row>
    <row r="986" spans="1:2" x14ac:dyDescent="0.3">
      <c r="A986" t="s">
        <v>1822</v>
      </c>
      <c r="B986" t="s">
        <v>3490</v>
      </c>
    </row>
    <row r="988" spans="1:2" x14ac:dyDescent="0.3">
      <c r="A988" t="s">
        <v>1824</v>
      </c>
      <c r="B988" t="s">
        <v>1825</v>
      </c>
    </row>
    <row r="990" spans="1:2" x14ac:dyDescent="0.3">
      <c r="A990" t="s">
        <v>1826</v>
      </c>
      <c r="B990" t="s">
        <v>3491</v>
      </c>
    </row>
    <row r="992" spans="1:2" x14ac:dyDescent="0.3">
      <c r="A992" t="s">
        <v>1828</v>
      </c>
      <c r="B992" t="s">
        <v>3492</v>
      </c>
    </row>
    <row r="993" spans="1:2" x14ac:dyDescent="0.3">
      <c r="A993" t="s">
        <v>1830</v>
      </c>
      <c r="B993" t="s">
        <v>3493</v>
      </c>
    </row>
    <row r="994" spans="1:2" x14ac:dyDescent="0.3">
      <c r="A994" t="s">
        <v>1832</v>
      </c>
      <c r="B994" t="s">
        <v>3494</v>
      </c>
    </row>
    <row r="995" spans="1:2" x14ac:dyDescent="0.3">
      <c r="A995" t="s">
        <v>1834</v>
      </c>
      <c r="B995" t="s">
        <v>3495</v>
      </c>
    </row>
    <row r="996" spans="1:2" x14ac:dyDescent="0.3">
      <c r="A996" t="s">
        <v>3496</v>
      </c>
      <c r="B996" t="s">
        <v>3497</v>
      </c>
    </row>
    <row r="997" spans="1:2" x14ac:dyDescent="0.3">
      <c r="A997" t="s">
        <v>3498</v>
      </c>
      <c r="B997" t="s">
        <v>3499</v>
      </c>
    </row>
    <row r="998" spans="1:2" x14ac:dyDescent="0.3">
      <c r="A998" t="s">
        <v>1840</v>
      </c>
      <c r="B998" t="s">
        <v>3500</v>
      </c>
    </row>
    <row r="999" spans="1:2" x14ac:dyDescent="0.3">
      <c r="A999" t="s">
        <v>1842</v>
      </c>
      <c r="B999" t="s">
        <v>3501</v>
      </c>
    </row>
    <row r="1000" spans="1:2" x14ac:dyDescent="0.3">
      <c r="A1000" t="s">
        <v>1844</v>
      </c>
      <c r="B1000" t="s">
        <v>3502</v>
      </c>
    </row>
    <row r="1001" spans="1:2" x14ac:dyDescent="0.3">
      <c r="A1001" t="s">
        <v>1846</v>
      </c>
      <c r="B1001" t="s">
        <v>3503</v>
      </c>
    </row>
    <row r="1002" spans="1:2" x14ac:dyDescent="0.3">
      <c r="A1002" t="s">
        <v>1848</v>
      </c>
      <c r="B1002" t="s">
        <v>3504</v>
      </c>
    </row>
    <row r="1003" spans="1:2" x14ac:dyDescent="0.3">
      <c r="A1003" t="s">
        <v>1850</v>
      </c>
      <c r="B1003" t="s">
        <v>3505</v>
      </c>
    </row>
    <row r="1004" spans="1:2" x14ac:dyDescent="0.3">
      <c r="A1004" t="s">
        <v>1852</v>
      </c>
      <c r="B1004" t="s">
        <v>3506</v>
      </c>
    </row>
    <row r="1005" spans="1:2" x14ac:dyDescent="0.3">
      <c r="A1005" t="s">
        <v>1854</v>
      </c>
      <c r="B1005" t="s">
        <v>3507</v>
      </c>
    </row>
    <row r="1006" spans="1:2" x14ac:dyDescent="0.3">
      <c r="A1006" t="s">
        <v>1856</v>
      </c>
      <c r="B1006" t="s">
        <v>3508</v>
      </c>
    </row>
    <row r="1007" spans="1:2" x14ac:dyDescent="0.3">
      <c r="A1007" t="s">
        <v>1858</v>
      </c>
      <c r="B1007" t="s">
        <v>3509</v>
      </c>
    </row>
    <row r="1008" spans="1:2" x14ac:dyDescent="0.3">
      <c r="A1008" t="s">
        <v>1860</v>
      </c>
      <c r="B1008" t="s">
        <v>3510</v>
      </c>
    </row>
    <row r="1009" spans="1:2" x14ac:dyDescent="0.3">
      <c r="A1009" t="s">
        <v>1862</v>
      </c>
      <c r="B1009" t="s">
        <v>3511</v>
      </c>
    </row>
    <row r="1010" spans="1:2" x14ac:dyDescent="0.3">
      <c r="A1010" t="s">
        <v>1864</v>
      </c>
      <c r="B1010" t="s">
        <v>3512</v>
      </c>
    </row>
    <row r="1011" spans="1:2" x14ac:dyDescent="0.3">
      <c r="A1011" t="s">
        <v>1866</v>
      </c>
      <c r="B1011" t="s">
        <v>3513</v>
      </c>
    </row>
    <row r="1012" spans="1:2" x14ac:dyDescent="0.3">
      <c r="A1012" t="s">
        <v>1868</v>
      </c>
      <c r="B1012" t="s">
        <v>3514</v>
      </c>
    </row>
    <row r="1013" spans="1:2" x14ac:dyDescent="0.3">
      <c r="A1013" t="s">
        <v>1870</v>
      </c>
      <c r="B1013" t="s">
        <v>3515</v>
      </c>
    </row>
    <row r="1014" spans="1:2" x14ac:dyDescent="0.3">
      <c r="A1014" t="s">
        <v>1872</v>
      </c>
      <c r="B1014" t="s">
        <v>3516</v>
      </c>
    </row>
    <row r="1015" spans="1:2" x14ac:dyDescent="0.3">
      <c r="A1015" t="s">
        <v>1874</v>
      </c>
      <c r="B1015" t="s">
        <v>3517</v>
      </c>
    </row>
    <row r="1016" spans="1:2" x14ac:dyDescent="0.3">
      <c r="A1016" t="s">
        <v>1876</v>
      </c>
      <c r="B1016" t="s">
        <v>3518</v>
      </c>
    </row>
    <row r="1017" spans="1:2" x14ac:dyDescent="0.3">
      <c r="A1017" t="s">
        <v>1878</v>
      </c>
      <c r="B1017" t="s">
        <v>3519</v>
      </c>
    </row>
    <row r="1018" spans="1:2" x14ac:dyDescent="0.3">
      <c r="A1018" t="s">
        <v>1880</v>
      </c>
      <c r="B1018" t="s">
        <v>3520</v>
      </c>
    </row>
    <row r="1019" spans="1:2" x14ac:dyDescent="0.3">
      <c r="A1019" t="s">
        <v>1882</v>
      </c>
      <c r="B1019" t="s">
        <v>3521</v>
      </c>
    </row>
    <row r="1020" spans="1:2" x14ac:dyDescent="0.3">
      <c r="A1020" t="s">
        <v>1884</v>
      </c>
      <c r="B1020" t="s">
        <v>3522</v>
      </c>
    </row>
    <row r="1021" spans="1:2" x14ac:dyDescent="0.3">
      <c r="A1021" t="s">
        <v>1886</v>
      </c>
      <c r="B1021" t="s">
        <v>3523</v>
      </c>
    </row>
    <row r="1022" spans="1:2" x14ac:dyDescent="0.3">
      <c r="A1022" t="s">
        <v>1888</v>
      </c>
      <c r="B1022" t="s">
        <v>3524</v>
      </c>
    </row>
    <row r="1023" spans="1:2" x14ac:dyDescent="0.3">
      <c r="A1023" t="s">
        <v>1890</v>
      </c>
      <c r="B1023" t="s">
        <v>3525</v>
      </c>
    </row>
    <row r="1024" spans="1:2" x14ac:dyDescent="0.3">
      <c r="A1024" t="s">
        <v>1892</v>
      </c>
      <c r="B1024" t="s">
        <v>3526</v>
      </c>
    </row>
    <row r="1025" spans="1:2" x14ac:dyDescent="0.3">
      <c r="A1025" t="s">
        <v>1894</v>
      </c>
      <c r="B1025" t="s">
        <v>3527</v>
      </c>
    </row>
    <row r="1026" spans="1:2" x14ac:dyDescent="0.3">
      <c r="A1026" t="s">
        <v>1896</v>
      </c>
      <c r="B1026" t="s">
        <v>3528</v>
      </c>
    </row>
    <row r="1027" spans="1:2" x14ac:dyDescent="0.3">
      <c r="A1027" t="s">
        <v>1898</v>
      </c>
      <c r="B1027" t="s">
        <v>3529</v>
      </c>
    </row>
    <row r="1028" spans="1:2" x14ac:dyDescent="0.3">
      <c r="A1028" t="s">
        <v>1900</v>
      </c>
      <c r="B1028" t="s">
        <v>3530</v>
      </c>
    </row>
    <row r="1029" spans="1:2" x14ac:dyDescent="0.3">
      <c r="A1029" t="s">
        <v>1902</v>
      </c>
      <c r="B1029" t="s">
        <v>3531</v>
      </c>
    </row>
    <row r="1030" spans="1:2" x14ac:dyDescent="0.3">
      <c r="A1030" t="s">
        <v>1904</v>
      </c>
      <c r="B1030" t="s">
        <v>3532</v>
      </c>
    </row>
    <row r="1031" spans="1:2" x14ac:dyDescent="0.3">
      <c r="A1031" t="s">
        <v>1906</v>
      </c>
      <c r="B1031" t="s">
        <v>3533</v>
      </c>
    </row>
    <row r="1032" spans="1:2" x14ac:dyDescent="0.3">
      <c r="A1032" t="s">
        <v>1908</v>
      </c>
      <c r="B1032" t="s">
        <v>3534</v>
      </c>
    </row>
    <row r="1033" spans="1:2" x14ac:dyDescent="0.3">
      <c r="A1033" t="s">
        <v>1910</v>
      </c>
      <c r="B1033" t="s">
        <v>3535</v>
      </c>
    </row>
    <row r="1034" spans="1:2" x14ac:dyDescent="0.3">
      <c r="A1034" t="s">
        <v>1912</v>
      </c>
      <c r="B1034" t="s">
        <v>3536</v>
      </c>
    </row>
    <row r="1035" spans="1:2" x14ac:dyDescent="0.3">
      <c r="A1035" t="s">
        <v>1914</v>
      </c>
      <c r="B1035" t="s">
        <v>3537</v>
      </c>
    </row>
    <row r="1036" spans="1:2" x14ac:dyDescent="0.3">
      <c r="A1036" t="s">
        <v>1916</v>
      </c>
      <c r="B1036" t="s">
        <v>3538</v>
      </c>
    </row>
    <row r="1037" spans="1:2" x14ac:dyDescent="0.3">
      <c r="A1037" t="s">
        <v>1814</v>
      </c>
      <c r="B1037" t="s">
        <v>3238</v>
      </c>
    </row>
    <row r="1038" spans="1:2" x14ac:dyDescent="0.3">
      <c r="A1038" t="s">
        <v>1918</v>
      </c>
      <c r="B1038" t="s">
        <v>3539</v>
      </c>
    </row>
    <row r="1039" spans="1:2" x14ac:dyDescent="0.3">
      <c r="A1039" t="s">
        <v>1920</v>
      </c>
      <c r="B1039" t="s">
        <v>3540</v>
      </c>
    </row>
    <row r="1040" spans="1:2" x14ac:dyDescent="0.3">
      <c r="A1040" t="s">
        <v>1922</v>
      </c>
      <c r="B1040" t="s">
        <v>3541</v>
      </c>
    </row>
    <row r="1041" spans="1:2" x14ac:dyDescent="0.3">
      <c r="A1041" t="s">
        <v>1924</v>
      </c>
      <c r="B1041" t="s">
        <v>3542</v>
      </c>
    </row>
    <row r="1042" spans="1:2" x14ac:dyDescent="0.3">
      <c r="A1042" t="s">
        <v>1926</v>
      </c>
      <c r="B1042" t="s">
        <v>3543</v>
      </c>
    </row>
    <row r="1043" spans="1:2" x14ac:dyDescent="0.3">
      <c r="A1043" t="s">
        <v>1928</v>
      </c>
      <c r="B1043" t="s">
        <v>3544</v>
      </c>
    </row>
    <row r="1044" spans="1:2" x14ac:dyDescent="0.3">
      <c r="A1044" t="s">
        <v>1930</v>
      </c>
      <c r="B1044" t="s">
        <v>3545</v>
      </c>
    </row>
    <row r="1045" spans="1:2" x14ac:dyDescent="0.3">
      <c r="A1045" t="s">
        <v>1932</v>
      </c>
      <c r="B1045" t="s">
        <v>3546</v>
      </c>
    </row>
    <row r="1046" spans="1:2" x14ac:dyDescent="0.3">
      <c r="A1046" t="s">
        <v>1934</v>
      </c>
      <c r="B1046" t="s">
        <v>3547</v>
      </c>
    </row>
    <row r="1047" spans="1:2" x14ac:dyDescent="0.3">
      <c r="A1047" t="s">
        <v>1936</v>
      </c>
      <c r="B1047" t="s">
        <v>3548</v>
      </c>
    </row>
    <row r="1048" spans="1:2" x14ac:dyDescent="0.3">
      <c r="A1048" t="s">
        <v>1938</v>
      </c>
      <c r="B1048" t="s">
        <v>3549</v>
      </c>
    </row>
    <row r="1049" spans="1:2" x14ac:dyDescent="0.3">
      <c r="A1049" t="s">
        <v>1814</v>
      </c>
      <c r="B1049" t="s">
        <v>3238</v>
      </c>
    </row>
    <row r="1051" spans="1:2" x14ac:dyDescent="0.3">
      <c r="A1051" t="s">
        <v>1940</v>
      </c>
      <c r="B1051" t="s">
        <v>3550</v>
      </c>
    </row>
    <row r="1052" spans="1:2" x14ac:dyDescent="0.3">
      <c r="A1052" t="s">
        <v>1942</v>
      </c>
      <c r="B1052" t="s">
        <v>3551</v>
      </c>
    </row>
    <row r="1053" spans="1:2" x14ac:dyDescent="0.3">
      <c r="A1053" t="s">
        <v>1944</v>
      </c>
      <c r="B1053" t="s">
        <v>3552</v>
      </c>
    </row>
    <row r="1054" spans="1:2" x14ac:dyDescent="0.3">
      <c r="A1054" t="s">
        <v>1946</v>
      </c>
      <c r="B1054" t="s">
        <v>3553</v>
      </c>
    </row>
    <row r="1055" spans="1:2" x14ac:dyDescent="0.3">
      <c r="A1055" t="s">
        <v>1948</v>
      </c>
      <c r="B1055" t="s">
        <v>3554</v>
      </c>
    </row>
    <row r="1056" spans="1:2" x14ac:dyDescent="0.3">
      <c r="A1056" t="s">
        <v>1950</v>
      </c>
      <c r="B1056" t="s">
        <v>3555</v>
      </c>
    </row>
    <row r="1057" spans="1:2" x14ac:dyDescent="0.3">
      <c r="A1057" t="s">
        <v>1952</v>
      </c>
      <c r="B1057" t="s">
        <v>3556</v>
      </c>
    </row>
    <row r="1058" spans="1:2" x14ac:dyDescent="0.3">
      <c r="A1058" t="s">
        <v>1954</v>
      </c>
      <c r="B1058" t="s">
        <v>3557</v>
      </c>
    </row>
    <row r="1059" spans="1:2" x14ac:dyDescent="0.3">
      <c r="A1059" t="s">
        <v>1956</v>
      </c>
      <c r="B1059" t="s">
        <v>3558</v>
      </c>
    </row>
    <row r="1060" spans="1:2" x14ac:dyDescent="0.3">
      <c r="A1060" t="s">
        <v>1958</v>
      </c>
      <c r="B1060" t="s">
        <v>3559</v>
      </c>
    </row>
    <row r="1061" spans="1:2" x14ac:dyDescent="0.3">
      <c r="A1061" t="s">
        <v>1960</v>
      </c>
      <c r="B1061" t="s">
        <v>3560</v>
      </c>
    </row>
    <row r="1062" spans="1:2" x14ac:dyDescent="0.3">
      <c r="A1062" t="s">
        <v>1962</v>
      </c>
      <c r="B1062" t="s">
        <v>3561</v>
      </c>
    </row>
    <row r="1063" spans="1:2" x14ac:dyDescent="0.3">
      <c r="A1063" t="s">
        <v>1964</v>
      </c>
      <c r="B1063" t="s">
        <v>3562</v>
      </c>
    </row>
    <row r="1064" spans="1:2" x14ac:dyDescent="0.3">
      <c r="A1064" t="s">
        <v>1966</v>
      </c>
      <c r="B1064" t="s">
        <v>3563</v>
      </c>
    </row>
    <row r="1065" spans="1:2" x14ac:dyDescent="0.3">
      <c r="A1065" t="s">
        <v>1968</v>
      </c>
      <c r="B1065" t="s">
        <v>3564</v>
      </c>
    </row>
    <row r="1066" spans="1:2" x14ac:dyDescent="0.3">
      <c r="A1066" t="s">
        <v>1970</v>
      </c>
      <c r="B1066" t="s">
        <v>3565</v>
      </c>
    </row>
    <row r="1067" spans="1:2" x14ac:dyDescent="0.3">
      <c r="A1067" t="s">
        <v>1972</v>
      </c>
      <c r="B1067" t="s">
        <v>3566</v>
      </c>
    </row>
    <row r="1068" spans="1:2" x14ac:dyDescent="0.3">
      <c r="A1068" t="s">
        <v>1974</v>
      </c>
      <c r="B1068" t="s">
        <v>3567</v>
      </c>
    </row>
    <row r="1069" spans="1:2" x14ac:dyDescent="0.3">
      <c r="A1069" t="s">
        <v>1976</v>
      </c>
      <c r="B1069" t="s">
        <v>3568</v>
      </c>
    </row>
    <row r="1070" spans="1:2" x14ac:dyDescent="0.3">
      <c r="A1070" t="s">
        <v>1978</v>
      </c>
      <c r="B1070" t="s">
        <v>3569</v>
      </c>
    </row>
    <row r="1071" spans="1:2" x14ac:dyDescent="0.3">
      <c r="A1071" t="s">
        <v>1980</v>
      </c>
      <c r="B1071" t="s">
        <v>3570</v>
      </c>
    </row>
    <row r="1072" spans="1:2" x14ac:dyDescent="0.3">
      <c r="A1072" t="s">
        <v>1982</v>
      </c>
      <c r="B1072" t="s">
        <v>3571</v>
      </c>
    </row>
    <row r="1073" spans="1:2" x14ac:dyDescent="0.3">
      <c r="A1073" t="s">
        <v>1984</v>
      </c>
      <c r="B1073" t="s">
        <v>3572</v>
      </c>
    </row>
    <row r="1074" spans="1:2" x14ac:dyDescent="0.3">
      <c r="A1074" t="s">
        <v>1986</v>
      </c>
      <c r="B1074" t="s">
        <v>3165</v>
      </c>
    </row>
    <row r="1076" spans="1:2" x14ac:dyDescent="0.3">
      <c r="A1076" t="s">
        <v>1987</v>
      </c>
      <c r="B1076" t="s">
        <v>3573</v>
      </c>
    </row>
    <row r="1077" spans="1:2" x14ac:dyDescent="0.3">
      <c r="A1077" t="s">
        <v>1989</v>
      </c>
      <c r="B1077" t="s">
        <v>3574</v>
      </c>
    </row>
    <row r="1079" spans="1:2" x14ac:dyDescent="0.3">
      <c r="A1079" t="s">
        <v>1991</v>
      </c>
      <c r="B1079" t="s">
        <v>3575</v>
      </c>
    </row>
    <row r="1080" spans="1:2" x14ac:dyDescent="0.3">
      <c r="A1080" t="s">
        <v>1993</v>
      </c>
      <c r="B1080" t="s">
        <v>3576</v>
      </c>
    </row>
    <row r="1081" spans="1:2" x14ac:dyDescent="0.3">
      <c r="A1081" t="s">
        <v>1995</v>
      </c>
      <c r="B1081" t="s">
        <v>3577</v>
      </c>
    </row>
    <row r="1082" spans="1:2" x14ac:dyDescent="0.3">
      <c r="A1082" t="s">
        <v>1997</v>
      </c>
      <c r="B1082" t="s">
        <v>3578</v>
      </c>
    </row>
    <row r="1083" spans="1:2" x14ac:dyDescent="0.3">
      <c r="A1083" t="s">
        <v>1999</v>
      </c>
      <c r="B1083" t="s">
        <v>3579</v>
      </c>
    </row>
    <row r="1084" spans="1:2" x14ac:dyDescent="0.3">
      <c r="A1084" t="s">
        <v>2001</v>
      </c>
      <c r="B1084" t="s">
        <v>3580</v>
      </c>
    </row>
    <row r="1085" spans="1:2" x14ac:dyDescent="0.3">
      <c r="A1085" t="s">
        <v>2003</v>
      </c>
      <c r="B1085" t="s">
        <v>3581</v>
      </c>
    </row>
    <row r="1086" spans="1:2" x14ac:dyDescent="0.3">
      <c r="A1086" t="s">
        <v>2005</v>
      </c>
      <c r="B1086" t="s">
        <v>3582</v>
      </c>
    </row>
    <row r="1087" spans="1:2" x14ac:dyDescent="0.3">
      <c r="A1087" t="s">
        <v>2007</v>
      </c>
      <c r="B1087" t="s">
        <v>3583</v>
      </c>
    </row>
    <row r="1088" spans="1:2" x14ac:dyDescent="0.3">
      <c r="A1088" t="s">
        <v>2009</v>
      </c>
      <c r="B1088" t="s">
        <v>3584</v>
      </c>
    </row>
    <row r="1089" spans="1:2" x14ac:dyDescent="0.3">
      <c r="A1089" t="s">
        <v>2011</v>
      </c>
      <c r="B1089" t="s">
        <v>3585</v>
      </c>
    </row>
    <row r="1090" spans="1:2" x14ac:dyDescent="0.3">
      <c r="A1090" t="s">
        <v>2013</v>
      </c>
      <c r="B1090" t="s">
        <v>3586</v>
      </c>
    </row>
    <row r="1091" spans="1:2" x14ac:dyDescent="0.3">
      <c r="A1091" t="s">
        <v>2015</v>
      </c>
      <c r="B1091" t="s">
        <v>3587</v>
      </c>
    </row>
    <row r="1092" spans="1:2" x14ac:dyDescent="0.3">
      <c r="A1092" t="s">
        <v>2017</v>
      </c>
      <c r="B1092" t="s">
        <v>3588</v>
      </c>
    </row>
    <row r="1093" spans="1:2" x14ac:dyDescent="0.3">
      <c r="A1093" t="s">
        <v>2019</v>
      </c>
      <c r="B1093" t="s">
        <v>3589</v>
      </c>
    </row>
    <row r="1094" spans="1:2" x14ac:dyDescent="0.3">
      <c r="A1094" t="s">
        <v>2021</v>
      </c>
      <c r="B1094" t="s">
        <v>3590</v>
      </c>
    </row>
    <row r="1095" spans="1:2" x14ac:dyDescent="0.3">
      <c r="A1095" t="s">
        <v>2023</v>
      </c>
      <c r="B1095" t="s">
        <v>3591</v>
      </c>
    </row>
    <row r="1097" spans="1:2" x14ac:dyDescent="0.3">
      <c r="A1097" t="s">
        <v>2025</v>
      </c>
      <c r="B1097" t="s">
        <v>3592</v>
      </c>
    </row>
    <row r="1098" spans="1:2" x14ac:dyDescent="0.3">
      <c r="A1098" t="s">
        <v>2027</v>
      </c>
      <c r="B1098" t="s">
        <v>3593</v>
      </c>
    </row>
    <row r="1100" spans="1:2" x14ac:dyDescent="0.3">
      <c r="A1100" t="s">
        <v>2029</v>
      </c>
      <c r="B1100" t="s">
        <v>3594</v>
      </c>
    </row>
    <row r="1102" spans="1:2" x14ac:dyDescent="0.3">
      <c r="A1102" t="s">
        <v>2031</v>
      </c>
      <c r="B1102" t="s">
        <v>2887</v>
      </c>
    </row>
    <row r="1103" spans="1:2" x14ac:dyDescent="0.3">
      <c r="A1103" t="s">
        <v>2032</v>
      </c>
      <c r="B1103" t="s">
        <v>3595</v>
      </c>
    </row>
    <row r="1104" spans="1:2" x14ac:dyDescent="0.3">
      <c r="A1104" t="s">
        <v>2033</v>
      </c>
      <c r="B1104" t="s">
        <v>3596</v>
      </c>
    </row>
    <row r="1105" spans="1:2" x14ac:dyDescent="0.3">
      <c r="A1105" t="s">
        <v>2035</v>
      </c>
      <c r="B1105" t="s">
        <v>3293</v>
      </c>
    </row>
    <row r="1106" spans="1:2" x14ac:dyDescent="0.3">
      <c r="A1106" t="s">
        <v>2036</v>
      </c>
      <c r="B1106" t="s">
        <v>3597</v>
      </c>
    </row>
    <row r="1107" spans="1:2" x14ac:dyDescent="0.3">
      <c r="A1107" t="s">
        <v>2038</v>
      </c>
      <c r="B1107" t="s">
        <v>3598</v>
      </c>
    </row>
    <row r="1108" spans="1:2" x14ac:dyDescent="0.3">
      <c r="A1108" t="s">
        <v>2040</v>
      </c>
      <c r="B1108" t="s">
        <v>3599</v>
      </c>
    </row>
    <row r="1109" spans="1:2" x14ac:dyDescent="0.3">
      <c r="A1109" t="s">
        <v>2042</v>
      </c>
      <c r="B1109" t="s">
        <v>3600</v>
      </c>
    </row>
    <row r="1110" spans="1:2" x14ac:dyDescent="0.3">
      <c r="A1110" t="s">
        <v>2044</v>
      </c>
      <c r="B1110" t="s">
        <v>3601</v>
      </c>
    </row>
    <row r="1111" spans="1:2" x14ac:dyDescent="0.3">
      <c r="A1111" t="s">
        <v>2046</v>
      </c>
      <c r="B1111" t="s">
        <v>3602</v>
      </c>
    </row>
    <row r="1112" spans="1:2" x14ac:dyDescent="0.3">
      <c r="A1112" t="s">
        <v>2048</v>
      </c>
      <c r="B1112" t="s">
        <v>3603</v>
      </c>
    </row>
    <row r="1113" spans="1:2" x14ac:dyDescent="0.3">
      <c r="A1113" t="s">
        <v>2050</v>
      </c>
      <c r="B1113" t="s">
        <v>3604</v>
      </c>
    </row>
    <row r="1114" spans="1:2" x14ac:dyDescent="0.3">
      <c r="A1114" t="s">
        <v>2052</v>
      </c>
      <c r="B1114" t="s">
        <v>3605</v>
      </c>
    </row>
    <row r="1115" spans="1:2" x14ac:dyDescent="0.3">
      <c r="A1115" t="s">
        <v>2054</v>
      </c>
      <c r="B1115" t="s">
        <v>3606</v>
      </c>
    </row>
    <row r="1116" spans="1:2" x14ac:dyDescent="0.3">
      <c r="A1116" t="s">
        <v>1814</v>
      </c>
      <c r="B1116" t="s">
        <v>3489</v>
      </c>
    </row>
    <row r="1117" spans="1:2" x14ac:dyDescent="0.3">
      <c r="A1117" t="s">
        <v>2056</v>
      </c>
      <c r="B1117" t="s">
        <v>3607</v>
      </c>
    </row>
    <row r="1119" spans="1:2" x14ac:dyDescent="0.3">
      <c r="A1119" t="s">
        <v>2058</v>
      </c>
      <c r="B1119" t="s">
        <v>3608</v>
      </c>
    </row>
    <row r="1121" spans="1:2" x14ac:dyDescent="0.3">
      <c r="A1121" t="s">
        <v>2060</v>
      </c>
      <c r="B1121" t="s">
        <v>3609</v>
      </c>
    </row>
    <row r="1122" spans="1:2" x14ac:dyDescent="0.3">
      <c r="A1122" t="s">
        <v>2062</v>
      </c>
      <c r="B1122" t="s">
        <v>3610</v>
      </c>
    </row>
    <row r="1123" spans="1:2" x14ac:dyDescent="0.3">
      <c r="A1123" t="s">
        <v>2064</v>
      </c>
      <c r="B1123" t="s">
        <v>3611</v>
      </c>
    </row>
    <row r="1124" spans="1:2" x14ac:dyDescent="0.3">
      <c r="A1124" t="s">
        <v>2066</v>
      </c>
      <c r="B1124" t="s">
        <v>3612</v>
      </c>
    </row>
    <row r="1125" spans="1:2" x14ac:dyDescent="0.3">
      <c r="A1125" t="s">
        <v>2068</v>
      </c>
      <c r="B1125" t="s">
        <v>3613</v>
      </c>
    </row>
    <row r="1126" spans="1:2" x14ac:dyDescent="0.3">
      <c r="A1126" t="s">
        <v>2070</v>
      </c>
      <c r="B1126" t="s">
        <v>3614</v>
      </c>
    </row>
    <row r="1127" spans="1:2" x14ac:dyDescent="0.3">
      <c r="A1127" t="s">
        <v>2072</v>
      </c>
      <c r="B1127" t="s">
        <v>3615</v>
      </c>
    </row>
    <row r="1128" spans="1:2" x14ac:dyDescent="0.3">
      <c r="A1128" t="s">
        <v>2074</v>
      </c>
      <c r="B1128" t="s">
        <v>3616</v>
      </c>
    </row>
    <row r="1129" spans="1:2" x14ac:dyDescent="0.3">
      <c r="A1129" t="s">
        <v>2076</v>
      </c>
      <c r="B1129" t="s">
        <v>3617</v>
      </c>
    </row>
    <row r="1130" spans="1:2" x14ac:dyDescent="0.3">
      <c r="A1130" t="s">
        <v>2078</v>
      </c>
      <c r="B1130" t="s">
        <v>3618</v>
      </c>
    </row>
    <row r="1131" spans="1:2" x14ac:dyDescent="0.3">
      <c r="A1131" t="s">
        <v>2080</v>
      </c>
      <c r="B1131" t="s">
        <v>3619</v>
      </c>
    </row>
    <row r="1132" spans="1:2" x14ac:dyDescent="0.3">
      <c r="A1132" t="s">
        <v>2082</v>
      </c>
      <c r="B1132" t="s">
        <v>3620</v>
      </c>
    </row>
    <row r="1133" spans="1:2" x14ac:dyDescent="0.3">
      <c r="A1133" t="s">
        <v>2084</v>
      </c>
      <c r="B1133" t="s">
        <v>3621</v>
      </c>
    </row>
    <row r="1134" spans="1:2" x14ac:dyDescent="0.3">
      <c r="A1134" t="s">
        <v>2086</v>
      </c>
      <c r="B1134" t="s">
        <v>3622</v>
      </c>
    </row>
    <row r="1135" spans="1:2" x14ac:dyDescent="0.3">
      <c r="A1135" t="s">
        <v>2088</v>
      </c>
      <c r="B1135" t="s">
        <v>3623</v>
      </c>
    </row>
    <row r="1136" spans="1:2" x14ac:dyDescent="0.3">
      <c r="A1136" t="s">
        <v>2090</v>
      </c>
      <c r="B1136" t="s">
        <v>3624</v>
      </c>
    </row>
    <row r="1137" spans="1:2" x14ac:dyDescent="0.3">
      <c r="A1137" t="s">
        <v>2092</v>
      </c>
      <c r="B1137" t="s">
        <v>3625</v>
      </c>
    </row>
    <row r="1138" spans="1:2" x14ac:dyDescent="0.3">
      <c r="A1138" t="s">
        <v>2094</v>
      </c>
      <c r="B1138" t="s">
        <v>3626</v>
      </c>
    </row>
    <row r="1139" spans="1:2" x14ac:dyDescent="0.3">
      <c r="A1139" t="s">
        <v>2096</v>
      </c>
      <c r="B1139" t="s">
        <v>3627</v>
      </c>
    </row>
    <row r="1140" spans="1:2" x14ac:dyDescent="0.3">
      <c r="A1140" t="s">
        <v>2098</v>
      </c>
      <c r="B1140" t="s">
        <v>3628</v>
      </c>
    </row>
    <row r="1141" spans="1:2" x14ac:dyDescent="0.3">
      <c r="A1141" t="s">
        <v>2100</v>
      </c>
      <c r="B1141" t="s">
        <v>3629</v>
      </c>
    </row>
    <row r="1143" spans="1:2" x14ac:dyDescent="0.3">
      <c r="A1143" t="s">
        <v>2102</v>
      </c>
      <c r="B1143" t="s">
        <v>3630</v>
      </c>
    </row>
    <row r="1144" spans="1:2" x14ac:dyDescent="0.3">
      <c r="A1144" t="s">
        <v>2104</v>
      </c>
      <c r="B1144" t="s">
        <v>2105</v>
      </c>
    </row>
    <row r="1145" spans="1:2" x14ac:dyDescent="0.3">
      <c r="A1145" t="s">
        <v>2106</v>
      </c>
      <c r="B1145" t="s">
        <v>2107</v>
      </c>
    </row>
    <row r="1146" spans="1:2" x14ac:dyDescent="0.3">
      <c r="A1146" t="s">
        <v>2108</v>
      </c>
      <c r="B1146" t="s">
        <v>2109</v>
      </c>
    </row>
    <row r="1147" spans="1:2" x14ac:dyDescent="0.3">
      <c r="A1147" t="s">
        <v>2110</v>
      </c>
      <c r="B1147" t="s">
        <v>2111</v>
      </c>
    </row>
    <row r="1148" spans="1:2" x14ac:dyDescent="0.3">
      <c r="A1148" t="s">
        <v>2112</v>
      </c>
      <c r="B1148" t="s">
        <v>2113</v>
      </c>
    </row>
    <row r="1149" spans="1:2" x14ac:dyDescent="0.3">
      <c r="A1149" t="s">
        <v>2114</v>
      </c>
      <c r="B1149" t="s">
        <v>2115</v>
      </c>
    </row>
    <row r="1150" spans="1:2" x14ac:dyDescent="0.3">
      <c r="A1150" t="s">
        <v>2116</v>
      </c>
      <c r="B1150" t="s">
        <v>2117</v>
      </c>
    </row>
    <row r="1151" spans="1:2" x14ac:dyDescent="0.3">
      <c r="A1151" t="s">
        <v>2118</v>
      </c>
      <c r="B1151" t="s">
        <v>2119</v>
      </c>
    </row>
    <row r="1152" spans="1:2" x14ac:dyDescent="0.3">
      <c r="A1152" t="s">
        <v>2120</v>
      </c>
      <c r="B1152" t="s">
        <v>2121</v>
      </c>
    </row>
    <row r="1153" spans="1:2" x14ac:dyDescent="0.3">
      <c r="A1153" t="s">
        <v>2122</v>
      </c>
      <c r="B1153" t="s">
        <v>2123</v>
      </c>
    </row>
    <row r="1154" spans="1:2" x14ac:dyDescent="0.3">
      <c r="A1154" t="s">
        <v>2124</v>
      </c>
      <c r="B1154" t="s">
        <v>2125</v>
      </c>
    </row>
    <row r="1155" spans="1:2" x14ac:dyDescent="0.3">
      <c r="A1155" t="s">
        <v>2126</v>
      </c>
      <c r="B1155" t="s">
        <v>2127</v>
      </c>
    </row>
    <row r="1156" spans="1:2" x14ac:dyDescent="0.3">
      <c r="A1156" t="s">
        <v>2128</v>
      </c>
      <c r="B1156" t="s">
        <v>2129</v>
      </c>
    </row>
    <row r="1159" spans="1:2" x14ac:dyDescent="0.3">
      <c r="A1159" t="s">
        <v>2130</v>
      </c>
      <c r="B1159" t="s">
        <v>3631</v>
      </c>
    </row>
    <row r="1160" spans="1:2" x14ac:dyDescent="0.3">
      <c r="A1160" t="s">
        <v>2132</v>
      </c>
      <c r="B1160" t="s">
        <v>3632</v>
      </c>
    </row>
    <row r="1161" spans="1:2" x14ac:dyDescent="0.3">
      <c r="A1161" t="s">
        <v>2134</v>
      </c>
      <c r="B1161" t="s">
        <v>3633</v>
      </c>
    </row>
    <row r="1164" spans="1:2" x14ac:dyDescent="0.3">
      <c r="A1164" t="s">
        <v>2136</v>
      </c>
      <c r="B1164" t="s">
        <v>3634</v>
      </c>
    </row>
    <row r="1166" spans="1:2" x14ac:dyDescent="0.3">
      <c r="A1166" t="s">
        <v>2138</v>
      </c>
      <c r="B1166" t="s">
        <v>3635</v>
      </c>
    </row>
    <row r="1167" spans="1:2" x14ac:dyDescent="0.3">
      <c r="A1167" t="s">
        <v>2140</v>
      </c>
      <c r="B1167" t="s">
        <v>3636</v>
      </c>
    </row>
    <row r="1168" spans="1:2" x14ac:dyDescent="0.3">
      <c r="A1168" t="s">
        <v>2142</v>
      </c>
      <c r="B1168" t="s">
        <v>3009</v>
      </c>
    </row>
    <row r="1169" spans="1:2" x14ac:dyDescent="0.3">
      <c r="A1169" t="s">
        <v>2143</v>
      </c>
      <c r="B1169" t="s">
        <v>3637</v>
      </c>
    </row>
    <row r="1170" spans="1:2" x14ac:dyDescent="0.3">
      <c r="A1170" t="s">
        <v>2145</v>
      </c>
      <c r="B1170" t="s">
        <v>3638</v>
      </c>
    </row>
    <row r="1171" spans="1:2" x14ac:dyDescent="0.3">
      <c r="A1171" t="s">
        <v>2147</v>
      </c>
      <c r="B1171" t="s">
        <v>3639</v>
      </c>
    </row>
    <row r="1172" spans="1:2" x14ac:dyDescent="0.3">
      <c r="A1172" t="s">
        <v>2149</v>
      </c>
      <c r="B1172" t="s">
        <v>3555</v>
      </c>
    </row>
    <row r="1173" spans="1:2" x14ac:dyDescent="0.3">
      <c r="A1173" t="s">
        <v>2151</v>
      </c>
      <c r="B1173" t="s">
        <v>3640</v>
      </c>
    </row>
    <row r="1174" spans="1:2" x14ac:dyDescent="0.3">
      <c r="A1174" t="s">
        <v>2153</v>
      </c>
      <c r="B1174" t="s">
        <v>3641</v>
      </c>
    </row>
    <row r="1175" spans="1:2" x14ac:dyDescent="0.3">
      <c r="A1175" t="s">
        <v>2155</v>
      </c>
      <c r="B1175" t="s">
        <v>3642</v>
      </c>
    </row>
    <row r="1176" spans="1:2" x14ac:dyDescent="0.3">
      <c r="A1176" t="s">
        <v>2157</v>
      </c>
      <c r="B1176" t="s">
        <v>3643</v>
      </c>
    </row>
    <row r="1177" spans="1:2" x14ac:dyDescent="0.3">
      <c r="A1177" t="s">
        <v>2159</v>
      </c>
      <c r="B1177" t="s">
        <v>3644</v>
      </c>
    </row>
    <row r="1178" spans="1:2" x14ac:dyDescent="0.3">
      <c r="A1178" t="s">
        <v>2161</v>
      </c>
      <c r="B1178" t="s">
        <v>3645</v>
      </c>
    </row>
    <row r="1180" spans="1:2" x14ac:dyDescent="0.3">
      <c r="A1180" t="s">
        <v>2163</v>
      </c>
      <c r="B1180" t="s">
        <v>3646</v>
      </c>
    </row>
    <row r="1181" spans="1:2" x14ac:dyDescent="0.3">
      <c r="A1181" t="s">
        <v>2165</v>
      </c>
      <c r="B1181" t="s">
        <v>3647</v>
      </c>
    </row>
    <row r="1182" spans="1:2" x14ac:dyDescent="0.3">
      <c r="A1182" t="s">
        <v>2167</v>
      </c>
      <c r="B1182" t="s">
        <v>3648</v>
      </c>
    </row>
    <row r="1184" spans="1:2" x14ac:dyDescent="0.3">
      <c r="A1184" t="s">
        <v>2169</v>
      </c>
      <c r="B1184" t="s">
        <v>3649</v>
      </c>
    </row>
    <row r="1185" spans="1:2" x14ac:dyDescent="0.3">
      <c r="A1185" t="s">
        <v>2171</v>
      </c>
      <c r="B1185" t="s">
        <v>3165</v>
      </c>
    </row>
    <row r="1187" spans="1:2" x14ac:dyDescent="0.3">
      <c r="A1187" t="s">
        <v>2172</v>
      </c>
      <c r="B1187" t="s">
        <v>3650</v>
      </c>
    </row>
    <row r="1189" spans="1:2" x14ac:dyDescent="0.3">
      <c r="A1189" t="s">
        <v>2174</v>
      </c>
      <c r="B1189" t="s">
        <v>3651</v>
      </c>
    </row>
    <row r="1190" spans="1:2" x14ac:dyDescent="0.3">
      <c r="A1190" t="s">
        <v>2176</v>
      </c>
      <c r="B1190" t="s">
        <v>3652</v>
      </c>
    </row>
    <row r="1192" spans="1:2" x14ac:dyDescent="0.3">
      <c r="A1192" t="s">
        <v>2178</v>
      </c>
      <c r="B1192" t="s">
        <v>3653</v>
      </c>
    </row>
    <row r="1193" spans="1:2" x14ac:dyDescent="0.3">
      <c r="A1193" t="s">
        <v>2180</v>
      </c>
      <c r="B1193" t="s">
        <v>3654</v>
      </c>
    </row>
    <row r="1194" spans="1:2" x14ac:dyDescent="0.3">
      <c r="A1194" t="s">
        <v>2182</v>
      </c>
      <c r="B1194" t="s">
        <v>3655</v>
      </c>
    </row>
    <row r="1195" spans="1:2" x14ac:dyDescent="0.3">
      <c r="A1195" t="s">
        <v>2184</v>
      </c>
      <c r="B1195" t="s">
        <v>3656</v>
      </c>
    </row>
    <row r="1196" spans="1:2" x14ac:dyDescent="0.3">
      <c r="A1196" t="s">
        <v>2186</v>
      </c>
      <c r="B1196" t="s">
        <v>3657</v>
      </c>
    </row>
    <row r="1197" spans="1:2" x14ac:dyDescent="0.3">
      <c r="A1197" t="s">
        <v>2188</v>
      </c>
      <c r="B1197" t="s">
        <v>3658</v>
      </c>
    </row>
    <row r="1198" spans="1:2" x14ac:dyDescent="0.3">
      <c r="A1198" t="s">
        <v>2190</v>
      </c>
      <c r="B1198" t="s">
        <v>3659</v>
      </c>
    </row>
    <row r="1199" spans="1:2" x14ac:dyDescent="0.3">
      <c r="A1199" t="s">
        <v>2192</v>
      </c>
      <c r="B1199" t="s">
        <v>3660</v>
      </c>
    </row>
    <row r="1201" spans="1:2" x14ac:dyDescent="0.3">
      <c r="A1201" t="s">
        <v>2194</v>
      </c>
      <c r="B1201" t="s">
        <v>3661</v>
      </c>
    </row>
    <row r="1202" spans="1:2" x14ac:dyDescent="0.3">
      <c r="A1202" t="s">
        <v>2196</v>
      </c>
      <c r="B1202" t="s">
        <v>3662</v>
      </c>
    </row>
    <row r="1203" spans="1:2" x14ac:dyDescent="0.3">
      <c r="A1203" t="s">
        <v>2198</v>
      </c>
      <c r="B1203" t="s">
        <v>3663</v>
      </c>
    </row>
    <row r="1204" spans="1:2" x14ac:dyDescent="0.3">
      <c r="A1204" t="s">
        <v>2199</v>
      </c>
      <c r="B1204" t="s">
        <v>3664</v>
      </c>
    </row>
    <row r="1206" spans="1:2" x14ac:dyDescent="0.3">
      <c r="A1206" t="s">
        <v>2201</v>
      </c>
      <c r="B1206" t="s">
        <v>3665</v>
      </c>
    </row>
    <row r="1207" spans="1:2" x14ac:dyDescent="0.3">
      <c r="A1207" t="s">
        <v>2203</v>
      </c>
      <c r="B1207" t="s">
        <v>3666</v>
      </c>
    </row>
    <row r="1209" spans="1:2" x14ac:dyDescent="0.3">
      <c r="A1209" t="s">
        <v>2205</v>
      </c>
      <c r="B1209" t="s">
        <v>2685</v>
      </c>
    </row>
    <row r="1211" spans="1:2" x14ac:dyDescent="0.3">
      <c r="A1211" t="s">
        <v>2207</v>
      </c>
      <c r="B1211" t="s">
        <v>3667</v>
      </c>
    </row>
    <row r="1212" spans="1:2" x14ac:dyDescent="0.3">
      <c r="A1212" t="s">
        <v>2209</v>
      </c>
      <c r="B1212" t="s">
        <v>3668</v>
      </c>
    </row>
    <row r="1213" spans="1:2" x14ac:dyDescent="0.3">
      <c r="A1213" t="s">
        <v>2211</v>
      </c>
      <c r="B1213" t="s">
        <v>3669</v>
      </c>
    </row>
    <row r="1214" spans="1:2" x14ac:dyDescent="0.3">
      <c r="A1214" t="s">
        <v>2213</v>
      </c>
      <c r="B1214" t="s">
        <v>3670</v>
      </c>
    </row>
    <row r="1215" spans="1:2" x14ac:dyDescent="0.3">
      <c r="A1215" t="s">
        <v>2215</v>
      </c>
      <c r="B1215" t="s">
        <v>3671</v>
      </c>
    </row>
    <row r="1216" spans="1:2" x14ac:dyDescent="0.3">
      <c r="A1216" t="s">
        <v>2217</v>
      </c>
      <c r="B1216" t="s">
        <v>3672</v>
      </c>
    </row>
    <row r="1217" spans="1:2" x14ac:dyDescent="0.3">
      <c r="A1217" t="s">
        <v>2219</v>
      </c>
      <c r="B1217" t="s">
        <v>3673</v>
      </c>
    </row>
    <row r="1218" spans="1:2" x14ac:dyDescent="0.3">
      <c r="A1218" t="s">
        <v>2221</v>
      </c>
      <c r="B1218" t="s">
        <v>3674</v>
      </c>
    </row>
    <row r="1219" spans="1:2" x14ac:dyDescent="0.3">
      <c r="A1219" t="s">
        <v>2223</v>
      </c>
      <c r="B1219" t="s">
        <v>3675</v>
      </c>
    </row>
    <row r="1220" spans="1:2" x14ac:dyDescent="0.3">
      <c r="A1220" t="s">
        <v>2225</v>
      </c>
      <c r="B1220" t="s">
        <v>3676</v>
      </c>
    </row>
    <row r="1221" spans="1:2" x14ac:dyDescent="0.3">
      <c r="A1221" t="s">
        <v>2227</v>
      </c>
      <c r="B1221" t="s">
        <v>3677</v>
      </c>
    </row>
    <row r="1222" spans="1:2" x14ac:dyDescent="0.3">
      <c r="A1222" t="s">
        <v>2229</v>
      </c>
      <c r="B1222" t="s">
        <v>3678</v>
      </c>
    </row>
    <row r="1223" spans="1:2" x14ac:dyDescent="0.3">
      <c r="A1223" t="s">
        <v>2231</v>
      </c>
      <c r="B1223" t="s">
        <v>3679</v>
      </c>
    </row>
    <row r="1224" spans="1:2" x14ac:dyDescent="0.3">
      <c r="A1224" t="s">
        <v>2233</v>
      </c>
      <c r="B1224" t="s">
        <v>3680</v>
      </c>
    </row>
    <row r="1225" spans="1:2" x14ac:dyDescent="0.3">
      <c r="A1225" t="s">
        <v>2235</v>
      </c>
      <c r="B1225" t="s">
        <v>3681</v>
      </c>
    </row>
    <row r="1226" spans="1:2" x14ac:dyDescent="0.3">
      <c r="A1226" t="s">
        <v>2237</v>
      </c>
      <c r="B1226" t="s">
        <v>3682</v>
      </c>
    </row>
    <row r="1227" spans="1:2" x14ac:dyDescent="0.3">
      <c r="A1227" t="s">
        <v>2239</v>
      </c>
      <c r="B1227" t="s">
        <v>3683</v>
      </c>
    </row>
    <row r="1228" spans="1:2" x14ac:dyDescent="0.3">
      <c r="A1228" t="s">
        <v>2241</v>
      </c>
      <c r="B1228" t="s">
        <v>3684</v>
      </c>
    </row>
    <row r="1229" spans="1:2" x14ac:dyDescent="0.3">
      <c r="A1229" t="s">
        <v>2243</v>
      </c>
      <c r="B1229" t="s">
        <v>3685</v>
      </c>
    </row>
    <row r="1230" spans="1:2" x14ac:dyDescent="0.3">
      <c r="A1230" t="s">
        <v>2245</v>
      </c>
      <c r="B1230" t="s">
        <v>3686</v>
      </c>
    </row>
    <row r="1231" spans="1:2" x14ac:dyDescent="0.3">
      <c r="A1231" t="s">
        <v>2247</v>
      </c>
      <c r="B1231" t="s">
        <v>3687</v>
      </c>
    </row>
    <row r="1233" spans="1:2" x14ac:dyDescent="0.3">
      <c r="A1233" t="s">
        <v>2249</v>
      </c>
      <c r="B1233" t="s">
        <v>3688</v>
      </c>
    </row>
    <row r="1234" spans="1:2" x14ac:dyDescent="0.3">
      <c r="A1234" t="s">
        <v>2251</v>
      </c>
      <c r="B1234" t="s">
        <v>3689</v>
      </c>
    </row>
    <row r="1235" spans="1:2" x14ac:dyDescent="0.3">
      <c r="A1235" t="s">
        <v>2253</v>
      </c>
      <c r="B1235" t="s">
        <v>3690</v>
      </c>
    </row>
    <row r="1236" spans="1:2" x14ac:dyDescent="0.3">
      <c r="A1236" t="s">
        <v>2255</v>
      </c>
      <c r="B1236" t="s">
        <v>3691</v>
      </c>
    </row>
    <row r="1237" spans="1:2" x14ac:dyDescent="0.3">
      <c r="A1237" t="s">
        <v>2257</v>
      </c>
      <c r="B1237" t="s">
        <v>3692</v>
      </c>
    </row>
    <row r="1238" spans="1:2" x14ac:dyDescent="0.3">
      <c r="A1238" t="s">
        <v>2259</v>
      </c>
      <c r="B1238" t="s">
        <v>3693</v>
      </c>
    </row>
    <row r="1239" spans="1:2" x14ac:dyDescent="0.3">
      <c r="A1239" t="s">
        <v>2261</v>
      </c>
      <c r="B1239" t="s">
        <v>3694</v>
      </c>
    </row>
    <row r="1240" spans="1:2" x14ac:dyDescent="0.3">
      <c r="A1240" t="s">
        <v>2263</v>
      </c>
      <c r="B1240" t="s">
        <v>3695</v>
      </c>
    </row>
    <row r="1241" spans="1:2" x14ac:dyDescent="0.3">
      <c r="A1241" t="s">
        <v>2265</v>
      </c>
      <c r="B1241" t="s">
        <v>3696</v>
      </c>
    </row>
    <row r="1242" spans="1:2" x14ac:dyDescent="0.3">
      <c r="A1242" t="s">
        <v>2266</v>
      </c>
      <c r="B1242" t="s">
        <v>3697</v>
      </c>
    </row>
    <row r="1243" spans="1:2" x14ac:dyDescent="0.3">
      <c r="A1243" t="s">
        <v>2268</v>
      </c>
      <c r="B1243" t="s">
        <v>3698</v>
      </c>
    </row>
    <row r="1244" spans="1:2" x14ac:dyDescent="0.3">
      <c r="A1244" t="s">
        <v>2270</v>
      </c>
      <c r="B1244" t="s">
        <v>3266</v>
      </c>
    </row>
    <row r="1245" spans="1:2" x14ac:dyDescent="0.3">
      <c r="A1245" t="s">
        <v>2271</v>
      </c>
      <c r="B1245" t="s">
        <v>3699</v>
      </c>
    </row>
    <row r="1246" spans="1:2" x14ac:dyDescent="0.3">
      <c r="A1246" t="s">
        <v>2272</v>
      </c>
      <c r="B1246" t="s">
        <v>3700</v>
      </c>
    </row>
    <row r="1247" spans="1:2" x14ac:dyDescent="0.3">
      <c r="A1247" t="s">
        <v>2274</v>
      </c>
      <c r="B1247" t="s">
        <v>3268</v>
      </c>
    </row>
    <row r="1248" spans="1:2" x14ac:dyDescent="0.3">
      <c r="A1248" t="s">
        <v>2275</v>
      </c>
      <c r="B1248" t="s">
        <v>3701</v>
      </c>
    </row>
    <row r="1249" spans="1:2" x14ac:dyDescent="0.3">
      <c r="A1249" t="s">
        <v>2276</v>
      </c>
      <c r="B1249" t="s">
        <v>3702</v>
      </c>
    </row>
    <row r="1250" spans="1:2" x14ac:dyDescent="0.3">
      <c r="A1250" t="s">
        <v>2278</v>
      </c>
      <c r="B1250" t="s">
        <v>3703</v>
      </c>
    </row>
    <row r="1251" spans="1:2" x14ac:dyDescent="0.3">
      <c r="A1251" t="s">
        <v>2280</v>
      </c>
      <c r="B1251" t="s">
        <v>3704</v>
      </c>
    </row>
    <row r="1252" spans="1:2" x14ac:dyDescent="0.3">
      <c r="A1252" t="s">
        <v>2281</v>
      </c>
      <c r="B1252" t="s">
        <v>3275</v>
      </c>
    </row>
    <row r="1253" spans="1:2" x14ac:dyDescent="0.3">
      <c r="A1253" t="s">
        <v>2282</v>
      </c>
      <c r="B1253" t="s">
        <v>3705</v>
      </c>
    </row>
    <row r="1254" spans="1:2" x14ac:dyDescent="0.3">
      <c r="A1254" t="s">
        <v>2284</v>
      </c>
      <c r="B1254" t="s">
        <v>3234</v>
      </c>
    </row>
    <row r="1255" spans="1:2" x14ac:dyDescent="0.3">
      <c r="A1255" t="s">
        <v>2285</v>
      </c>
      <c r="B1255" t="s">
        <v>3706</v>
      </c>
    </row>
    <row r="1256" spans="1:2" x14ac:dyDescent="0.3">
      <c r="A1256" t="s">
        <v>2287</v>
      </c>
      <c r="B1256" t="s">
        <v>3707</v>
      </c>
    </row>
    <row r="1257" spans="1:2" x14ac:dyDescent="0.3">
      <c r="A1257" t="s">
        <v>2289</v>
      </c>
      <c r="B1257" t="s">
        <v>3708</v>
      </c>
    </row>
    <row r="1258" spans="1:2" x14ac:dyDescent="0.3">
      <c r="A1258" t="s">
        <v>2291</v>
      </c>
      <c r="B1258" t="s">
        <v>3238</v>
      </c>
    </row>
    <row r="1259" spans="1:2" x14ac:dyDescent="0.3">
      <c r="A1259" t="s">
        <v>2292</v>
      </c>
      <c r="B1259" t="s">
        <v>3709</v>
      </c>
    </row>
    <row r="1261" spans="1:2" x14ac:dyDescent="0.3">
      <c r="A1261" t="s">
        <v>2293</v>
      </c>
      <c r="B1261" t="s">
        <v>3710</v>
      </c>
    </row>
    <row r="1262" spans="1:2" x14ac:dyDescent="0.3">
      <c r="A1262" t="s">
        <v>2294</v>
      </c>
      <c r="B1262" t="s">
        <v>3711</v>
      </c>
    </row>
    <row r="1263" spans="1:2" x14ac:dyDescent="0.3">
      <c r="A1263" t="s">
        <v>2296</v>
      </c>
      <c r="B1263" t="s">
        <v>3712</v>
      </c>
    </row>
    <row r="1264" spans="1:2" x14ac:dyDescent="0.3">
      <c r="A1264" t="s">
        <v>2298</v>
      </c>
      <c r="B1264" t="s">
        <v>3713</v>
      </c>
    </row>
    <row r="1265" spans="1:2" x14ac:dyDescent="0.3">
      <c r="A1265" t="s">
        <v>2300</v>
      </c>
      <c r="B1265" t="s">
        <v>3714</v>
      </c>
    </row>
    <row r="1266" spans="1:2" x14ac:dyDescent="0.3">
      <c r="A1266" t="s">
        <v>2255</v>
      </c>
      <c r="B1266" t="s">
        <v>3691</v>
      </c>
    </row>
    <row r="1267" spans="1:2" x14ac:dyDescent="0.3">
      <c r="A1267" t="s">
        <v>2303</v>
      </c>
      <c r="B1267" t="s">
        <v>3692</v>
      </c>
    </row>
    <row r="1268" spans="1:2" x14ac:dyDescent="0.3">
      <c r="A1268" t="s">
        <v>2304</v>
      </c>
      <c r="B1268" t="s">
        <v>3693</v>
      </c>
    </row>
    <row r="1269" spans="1:2" x14ac:dyDescent="0.3">
      <c r="A1269" t="s">
        <v>2305</v>
      </c>
      <c r="B1269" t="s">
        <v>3694</v>
      </c>
    </row>
    <row r="1270" spans="1:2" x14ac:dyDescent="0.3">
      <c r="A1270" t="s">
        <v>2306</v>
      </c>
      <c r="B1270" t="s">
        <v>3715</v>
      </c>
    </row>
    <row r="1271" spans="1:2" x14ac:dyDescent="0.3">
      <c r="A1271" t="s">
        <v>2308</v>
      </c>
      <c r="B1271" t="s">
        <v>3696</v>
      </c>
    </row>
    <row r="1272" spans="1:2" x14ac:dyDescent="0.3">
      <c r="A1272" t="s">
        <v>2309</v>
      </c>
      <c r="B1272" t="s">
        <v>3716</v>
      </c>
    </row>
    <row r="1273" spans="1:2" x14ac:dyDescent="0.3">
      <c r="A1273" t="s">
        <v>2310</v>
      </c>
      <c r="B1273" t="s">
        <v>3447</v>
      </c>
    </row>
    <row r="1274" spans="1:2" x14ac:dyDescent="0.3">
      <c r="A1274" t="s">
        <v>2311</v>
      </c>
      <c r="B1274" t="s">
        <v>3709</v>
      </c>
    </row>
    <row r="1275" spans="1:2" x14ac:dyDescent="0.3">
      <c r="A1275" t="s">
        <v>2312</v>
      </c>
      <c r="B1275" t="s">
        <v>3234</v>
      </c>
    </row>
    <row r="1276" spans="1:2" x14ac:dyDescent="0.3">
      <c r="A1276" t="s">
        <v>2313</v>
      </c>
      <c r="B1276" t="s">
        <v>3706</v>
      </c>
    </row>
    <row r="1277" spans="1:2" x14ac:dyDescent="0.3">
      <c r="A1277" t="s">
        <v>2314</v>
      </c>
      <c r="B1277" t="s">
        <v>3707</v>
      </c>
    </row>
    <row r="1278" spans="1:2" x14ac:dyDescent="0.3">
      <c r="A1278" t="s">
        <v>2315</v>
      </c>
      <c r="B1278" t="s">
        <v>3708</v>
      </c>
    </row>
    <row r="1279" spans="1:2" x14ac:dyDescent="0.3">
      <c r="A1279" t="s">
        <v>2316</v>
      </c>
      <c r="B1279" t="s">
        <v>3238</v>
      </c>
    </row>
    <row r="1280" spans="1:2" x14ac:dyDescent="0.3">
      <c r="A1280" t="s">
        <v>2317</v>
      </c>
      <c r="B1280" t="s">
        <v>3717</v>
      </c>
    </row>
    <row r="1281" spans="1:2" x14ac:dyDescent="0.3">
      <c r="A1281" t="s">
        <v>2319</v>
      </c>
      <c r="B1281" t="s">
        <v>3718</v>
      </c>
    </row>
    <row r="1282" spans="1:2" x14ac:dyDescent="0.3">
      <c r="A1282" t="s">
        <v>2321</v>
      </c>
      <c r="B1282" t="s">
        <v>3719</v>
      </c>
    </row>
    <row r="1283" spans="1:2" x14ac:dyDescent="0.3">
      <c r="A1283" t="s">
        <v>2323</v>
      </c>
      <c r="B1283" t="s">
        <v>3720</v>
      </c>
    </row>
    <row r="1284" spans="1:2" x14ac:dyDescent="0.3">
      <c r="A1284" t="s">
        <v>2325</v>
      </c>
      <c r="B1284" t="s">
        <v>3721</v>
      </c>
    </row>
    <row r="1285" spans="1:2" x14ac:dyDescent="0.3">
      <c r="A1285" t="s">
        <v>2327</v>
      </c>
      <c r="B1285" t="s">
        <v>3722</v>
      </c>
    </row>
    <row r="1286" spans="1:2" x14ac:dyDescent="0.3">
      <c r="A1286" t="s">
        <v>2329</v>
      </c>
      <c r="B1286" t="s">
        <v>3723</v>
      </c>
    </row>
    <row r="1287" spans="1:2" x14ac:dyDescent="0.3">
      <c r="A1287" t="s">
        <v>2331</v>
      </c>
      <c r="B1287" t="s">
        <v>3724</v>
      </c>
    </row>
    <row r="1288" spans="1:2" x14ac:dyDescent="0.3">
      <c r="A1288" t="s">
        <v>2333</v>
      </c>
      <c r="B1288" t="s">
        <v>3725</v>
      </c>
    </row>
    <row r="1289" spans="1:2" x14ac:dyDescent="0.3">
      <c r="A1289" t="s">
        <v>2335</v>
      </c>
      <c r="B1289" t="s">
        <v>3726</v>
      </c>
    </row>
    <row r="1290" spans="1:2" x14ac:dyDescent="0.3">
      <c r="A1290" t="s">
        <v>2337</v>
      </c>
      <c r="B1290" t="s">
        <v>3727</v>
      </c>
    </row>
    <row r="1291" spans="1:2" x14ac:dyDescent="0.3">
      <c r="A1291" t="s">
        <v>2339</v>
      </c>
      <c r="B1291" t="s">
        <v>3728</v>
      </c>
    </row>
    <row r="1292" spans="1:2" x14ac:dyDescent="0.3">
      <c r="A1292" t="s">
        <v>2341</v>
      </c>
      <c r="B1292" t="s">
        <v>3729</v>
      </c>
    </row>
    <row r="1293" spans="1:2" x14ac:dyDescent="0.3">
      <c r="A1293" t="s">
        <v>2343</v>
      </c>
      <c r="B1293" t="s">
        <v>3730</v>
      </c>
    </row>
    <row r="1294" spans="1:2" x14ac:dyDescent="0.3">
      <c r="A1294" t="s">
        <v>2345</v>
      </c>
      <c r="B1294" t="s">
        <v>3731</v>
      </c>
    </row>
    <row r="1296" spans="1:2" x14ac:dyDescent="0.3">
      <c r="A1296" t="s">
        <v>2347</v>
      </c>
      <c r="B1296" t="s">
        <v>3732</v>
      </c>
    </row>
    <row r="1297" spans="1:2" x14ac:dyDescent="0.3">
      <c r="A1297" t="s">
        <v>2349</v>
      </c>
      <c r="B1297" t="s">
        <v>3733</v>
      </c>
    </row>
    <row r="1298" spans="1:2" x14ac:dyDescent="0.3">
      <c r="A1298" t="s">
        <v>2351</v>
      </c>
      <c r="B1298" t="s">
        <v>3734</v>
      </c>
    </row>
    <row r="1299" spans="1:2" x14ac:dyDescent="0.3">
      <c r="A1299" t="s">
        <v>2353</v>
      </c>
      <c r="B1299" t="s">
        <v>3735</v>
      </c>
    </row>
    <row r="1300" spans="1:2" x14ac:dyDescent="0.3">
      <c r="A1300" t="s">
        <v>2355</v>
      </c>
      <c r="B1300" t="s">
        <v>3736</v>
      </c>
    </row>
    <row r="1301" spans="1:2" x14ac:dyDescent="0.3">
      <c r="A1301" t="s">
        <v>2357</v>
      </c>
      <c r="B1301" t="s">
        <v>3737</v>
      </c>
    </row>
    <row r="1302" spans="1:2" x14ac:dyDescent="0.3">
      <c r="A1302" t="s">
        <v>2359</v>
      </c>
      <c r="B1302" t="s">
        <v>3738</v>
      </c>
    </row>
    <row r="1303" spans="1:2" x14ac:dyDescent="0.3">
      <c r="A1303" t="s">
        <v>2361</v>
      </c>
      <c r="B1303" t="s">
        <v>3739</v>
      </c>
    </row>
    <row r="1304" spans="1:2" x14ac:dyDescent="0.3">
      <c r="A1304" t="s">
        <v>2363</v>
      </c>
      <c r="B1304" t="s">
        <v>3740</v>
      </c>
    </row>
    <row r="1305" spans="1:2" x14ac:dyDescent="0.3">
      <c r="A1305" t="s">
        <v>2365</v>
      </c>
      <c r="B1305" t="s">
        <v>3741</v>
      </c>
    </row>
    <row r="1306" spans="1:2" x14ac:dyDescent="0.3">
      <c r="A1306" t="s">
        <v>2367</v>
      </c>
      <c r="B1306" t="s">
        <v>3742</v>
      </c>
    </row>
    <row r="1307" spans="1:2" x14ac:dyDescent="0.3">
      <c r="A1307" t="s">
        <v>2369</v>
      </c>
      <c r="B1307" t="s">
        <v>3743</v>
      </c>
    </row>
    <row r="1308" spans="1:2" x14ac:dyDescent="0.3">
      <c r="A1308" t="s">
        <v>2371</v>
      </c>
      <c r="B1308" t="s">
        <v>3744</v>
      </c>
    </row>
    <row r="1309" spans="1:2" x14ac:dyDescent="0.3">
      <c r="A1309" t="s">
        <v>2372</v>
      </c>
      <c r="B1309" t="s">
        <v>3745</v>
      </c>
    </row>
    <row r="1310" spans="1:2" x14ac:dyDescent="0.3">
      <c r="A1310" t="s">
        <v>2374</v>
      </c>
      <c r="B1310" t="s">
        <v>3746</v>
      </c>
    </row>
    <row r="1311" spans="1:2" x14ac:dyDescent="0.3">
      <c r="A1311" t="s">
        <v>2376</v>
      </c>
      <c r="B1311" t="s">
        <v>3747</v>
      </c>
    </row>
    <row r="1312" spans="1:2" x14ac:dyDescent="0.3">
      <c r="A1312" t="s">
        <v>2378</v>
      </c>
      <c r="B1312" t="s">
        <v>3748</v>
      </c>
    </row>
    <row r="1313" spans="1:2" x14ac:dyDescent="0.3">
      <c r="A1313" t="s">
        <v>2380</v>
      </c>
      <c r="B1313" t="s">
        <v>3749</v>
      </c>
    </row>
    <row r="1314" spans="1:2" x14ac:dyDescent="0.3">
      <c r="A1314" t="s">
        <v>2382</v>
      </c>
      <c r="B1314" t="s">
        <v>3750</v>
      </c>
    </row>
    <row r="1315" spans="1:2" x14ac:dyDescent="0.3">
      <c r="A1315" t="s">
        <v>2384</v>
      </c>
      <c r="B1315" t="s">
        <v>3751</v>
      </c>
    </row>
    <row r="1316" spans="1:2" x14ac:dyDescent="0.3">
      <c r="A1316" t="s">
        <v>2386</v>
      </c>
      <c r="B1316" t="s">
        <v>3752</v>
      </c>
    </row>
    <row r="1317" spans="1:2" x14ac:dyDescent="0.3">
      <c r="A1317" t="s">
        <v>2388</v>
      </c>
      <c r="B1317" t="s">
        <v>3753</v>
      </c>
    </row>
    <row r="1318" spans="1:2" x14ac:dyDescent="0.3">
      <c r="A1318" t="s">
        <v>2390</v>
      </c>
      <c r="B1318" t="s">
        <v>3754</v>
      </c>
    </row>
    <row r="1319" spans="1:2" x14ac:dyDescent="0.3">
      <c r="A1319" t="s">
        <v>2392</v>
      </c>
      <c r="B1319" t="s">
        <v>3755</v>
      </c>
    </row>
    <row r="1320" spans="1:2" x14ac:dyDescent="0.3">
      <c r="A1320" t="s">
        <v>2394</v>
      </c>
      <c r="B1320" t="s">
        <v>3756</v>
      </c>
    </row>
    <row r="1321" spans="1:2" x14ac:dyDescent="0.3">
      <c r="A1321" t="s">
        <v>2396</v>
      </c>
      <c r="B1321" t="s">
        <v>3757</v>
      </c>
    </row>
    <row r="1322" spans="1:2" x14ac:dyDescent="0.3">
      <c r="A1322" t="s">
        <v>2398</v>
      </c>
      <c r="B1322" t="s">
        <v>3758</v>
      </c>
    </row>
    <row r="1323" spans="1:2" x14ac:dyDescent="0.3">
      <c r="A1323" t="s">
        <v>2400</v>
      </c>
      <c r="B1323" t="s">
        <v>3759</v>
      </c>
    </row>
    <row r="1324" spans="1:2" x14ac:dyDescent="0.3">
      <c r="A1324" t="s">
        <v>2402</v>
      </c>
      <c r="B1324" t="s">
        <v>3760</v>
      </c>
    </row>
    <row r="1325" spans="1:2" x14ac:dyDescent="0.3">
      <c r="A1325" t="s">
        <v>2404</v>
      </c>
      <c r="B1325" t="s">
        <v>3761</v>
      </c>
    </row>
    <row r="1326" spans="1:2" x14ac:dyDescent="0.3">
      <c r="A1326" t="s">
        <v>2406</v>
      </c>
      <c r="B1326" t="s">
        <v>3762</v>
      </c>
    </row>
    <row r="1327" spans="1:2" x14ac:dyDescent="0.3">
      <c r="A1327" t="s">
        <v>2408</v>
      </c>
      <c r="B1327" t="s">
        <v>3763</v>
      </c>
    </row>
    <row r="1328" spans="1:2" x14ac:dyDescent="0.3">
      <c r="A1328" t="s">
        <v>2410</v>
      </c>
      <c r="B1328" t="s">
        <v>2827</v>
      </c>
    </row>
    <row r="1329" spans="1:2" x14ac:dyDescent="0.3">
      <c r="A1329" t="s">
        <v>2412</v>
      </c>
      <c r="B1329" t="s">
        <v>3764</v>
      </c>
    </row>
    <row r="1330" spans="1:2" x14ac:dyDescent="0.3">
      <c r="A1330" t="s">
        <v>2414</v>
      </c>
      <c r="B1330" t="s">
        <v>3765</v>
      </c>
    </row>
    <row r="1331" spans="1:2" x14ac:dyDescent="0.3">
      <c r="A1331" t="s">
        <v>2416</v>
      </c>
      <c r="B1331" t="s">
        <v>3607</v>
      </c>
    </row>
    <row r="1332" spans="1:2" x14ac:dyDescent="0.3">
      <c r="A1332" t="s">
        <v>2417</v>
      </c>
      <c r="B1332" t="s">
        <v>3766</v>
      </c>
    </row>
    <row r="1333" spans="1:2" x14ac:dyDescent="0.3">
      <c r="A1333" t="s">
        <v>2419</v>
      </c>
      <c r="B1333" t="s">
        <v>3767</v>
      </c>
    </row>
    <row r="1334" spans="1:2" x14ac:dyDescent="0.3">
      <c r="A1334" t="s">
        <v>2421</v>
      </c>
      <c r="B1334" t="s">
        <v>3768</v>
      </c>
    </row>
    <row r="1335" spans="1:2" x14ac:dyDescent="0.3">
      <c r="A1335" t="s">
        <v>2423</v>
      </c>
      <c r="B1335" t="s">
        <v>3769</v>
      </c>
    </row>
    <row r="1336" spans="1:2" x14ac:dyDescent="0.3">
      <c r="A1336" t="s">
        <v>2425</v>
      </c>
      <c r="B1336" t="s">
        <v>3770</v>
      </c>
    </row>
    <row r="1337" spans="1:2" x14ac:dyDescent="0.3">
      <c r="A1337" t="s">
        <v>2427</v>
      </c>
      <c r="B1337" t="s">
        <v>3771</v>
      </c>
    </row>
    <row r="1338" spans="1:2" x14ac:dyDescent="0.3">
      <c r="A1338" t="s">
        <v>2429</v>
      </c>
      <c r="B1338" t="e" cm="1">
        <f t="array" ref="B1338">- легочные</f>
        <v>#NAME?</v>
      </c>
    </row>
    <row r="1339" spans="1:2" x14ac:dyDescent="0.3">
      <c r="A1339" t="s">
        <v>2430</v>
      </c>
      <c r="B1339" t="e" cm="1">
        <f t="array" ref="B1339">- с бактериовыделением</f>
        <v>#NAME?</v>
      </c>
    </row>
    <row r="1340" spans="1:2" x14ac:dyDescent="0.3">
      <c r="A1340" t="s">
        <v>2431</v>
      </c>
      <c r="B1340" t="e" cm="1">
        <f t="array" ref="B1340">- фиброзно-кавернозный</f>
        <v>#NAME?</v>
      </c>
    </row>
    <row r="1341" spans="1:2" x14ac:dyDescent="0.3">
      <c r="A1341" t="s">
        <v>2432</v>
      </c>
      <c r="B1341" t="s">
        <v>3772</v>
      </c>
    </row>
    <row r="1342" spans="1:2" x14ac:dyDescent="0.3">
      <c r="A1342" t="s">
        <v>2434</v>
      </c>
      <c r="B1342" t="s">
        <v>3773</v>
      </c>
    </row>
    <row r="1343" spans="1:2" x14ac:dyDescent="0.3">
      <c r="A1343" t="s">
        <v>2436</v>
      </c>
      <c r="B1343" t="e" cm="1">
        <f t="array" ref="B1343">- Костно-суставной</f>
        <v>#NAME?</v>
      </c>
    </row>
    <row r="1344" spans="1:2" x14ac:dyDescent="0.3">
      <c r="A1344" t="s">
        <v>2438</v>
      </c>
      <c r="B1344" t="e" cm="1">
        <f t="array" ref="B1344">- Мочеполовых органов</f>
        <v>#NAME?</v>
      </c>
    </row>
    <row r="1345" spans="1:2" x14ac:dyDescent="0.3">
      <c r="A1345" t="s">
        <v>2440</v>
      </c>
      <c r="B1345" t="e" cm="1">
        <f t="array" ref="B1345">- Периферических лимфоузлов</f>
        <v>#NAME?</v>
      </c>
    </row>
    <row r="1346" spans="1:2" x14ac:dyDescent="0.3">
      <c r="A1346" t="s">
        <v>2442</v>
      </c>
      <c r="B1346" t="e" cm="1">
        <f t="array" ref="B1346">- Абдоминальный</f>
        <v>#NAME?</v>
      </c>
    </row>
    <row r="1347" spans="1:2" x14ac:dyDescent="0.3">
      <c r="A1347" t="s">
        <v>2444</v>
      </c>
      <c r="B1347" t="e" cm="1">
        <f t="array" ref="B1347">- Глаз</f>
        <v>#NAME?</v>
      </c>
    </row>
    <row r="1348" spans="1:2" x14ac:dyDescent="0.3">
      <c r="A1348" t="s">
        <v>2446</v>
      </c>
      <c r="B1348" t="s">
        <v>3774</v>
      </c>
    </row>
    <row r="1349" spans="1:2" x14ac:dyDescent="0.3">
      <c r="A1349" t="s">
        <v>2448</v>
      </c>
      <c r="B1349" t="s">
        <v>3775</v>
      </c>
    </row>
    <row r="1350" spans="1:2" x14ac:dyDescent="0.3">
      <c r="A1350" t="s">
        <v>2450</v>
      </c>
      <c r="B1350" t="e" cm="1">
        <f t="array" ref="B1350">- ТБ/ВИЧ</f>
        <v>#NAME?</v>
      </c>
    </row>
    <row r="1351" spans="1:2" x14ac:dyDescent="0.3">
      <c r="A1351" t="s">
        <v>2452</v>
      </c>
      <c r="B1351" t="s">
        <v>3776</v>
      </c>
    </row>
    <row r="1352" spans="1:2" x14ac:dyDescent="0.3">
      <c r="A1352" t="s">
        <v>2454</v>
      </c>
      <c r="B1352" t="s">
        <v>3777</v>
      </c>
    </row>
    <row r="1353" spans="1:2" x14ac:dyDescent="0.3">
      <c r="A1353" t="s">
        <v>2456</v>
      </c>
      <c r="B1353" t="s">
        <v>3778</v>
      </c>
    </row>
    <row r="1354" spans="1:2" x14ac:dyDescent="0.3">
      <c r="A1354" t="s">
        <v>2458</v>
      </c>
      <c r="B1354" t="s">
        <v>3779</v>
      </c>
    </row>
    <row r="1355" spans="1:2" x14ac:dyDescent="0.3">
      <c r="A1355" t="s">
        <v>2460</v>
      </c>
      <c r="B1355" t="s">
        <v>3780</v>
      </c>
    </row>
    <row r="1356" spans="1:2" x14ac:dyDescent="0.3">
      <c r="A1356" t="s">
        <v>2462</v>
      </c>
      <c r="B1356" t="s">
        <v>3781</v>
      </c>
    </row>
    <row r="1357" spans="1:2" x14ac:dyDescent="0.3">
      <c r="A1357" t="s">
        <v>2464</v>
      </c>
      <c r="B1357" t="s">
        <v>3782</v>
      </c>
    </row>
    <row r="1358" spans="1:2" x14ac:dyDescent="0.3">
      <c r="A1358" t="s">
        <v>2466</v>
      </c>
      <c r="B1358" t="s">
        <v>3783</v>
      </c>
    </row>
    <row r="1359" spans="1:2" x14ac:dyDescent="0.3">
      <c r="A1359" t="s">
        <v>2468</v>
      </c>
      <c r="B1359" t="s">
        <v>3784</v>
      </c>
    </row>
    <row r="1360" spans="1:2" x14ac:dyDescent="0.3">
      <c r="A1360" t="s">
        <v>2470</v>
      </c>
      <c r="B1360" t="s">
        <v>3785</v>
      </c>
    </row>
    <row r="1361" spans="1:2" x14ac:dyDescent="0.3">
      <c r="A1361" t="s">
        <v>2472</v>
      </c>
      <c r="B1361" t="s">
        <v>3786</v>
      </c>
    </row>
    <row r="1362" spans="1:2" x14ac:dyDescent="0.3">
      <c r="A1362" t="s">
        <v>2474</v>
      </c>
      <c r="B1362" t="s">
        <v>3787</v>
      </c>
    </row>
    <row r="1363" spans="1:2" x14ac:dyDescent="0.3">
      <c r="A1363" t="s">
        <v>2476</v>
      </c>
      <c r="B1363" t="s">
        <v>3788</v>
      </c>
    </row>
    <row r="1364" spans="1:2" x14ac:dyDescent="0.3">
      <c r="A1364" t="s">
        <v>2478</v>
      </c>
      <c r="B1364" t="s">
        <v>3789</v>
      </c>
    </row>
    <row r="1365" spans="1:2" x14ac:dyDescent="0.3">
      <c r="A1365" t="s">
        <v>2480</v>
      </c>
      <c r="B1365" t="s">
        <v>3790</v>
      </c>
    </row>
    <row r="1366" spans="1:2" x14ac:dyDescent="0.3">
      <c r="A1366" t="s">
        <v>2482</v>
      </c>
      <c r="B1366" t="s">
        <v>3791</v>
      </c>
    </row>
    <row r="1367" spans="1:2" x14ac:dyDescent="0.3">
      <c r="A1367" t="s">
        <v>2484</v>
      </c>
      <c r="B1367" t="s">
        <v>3792</v>
      </c>
    </row>
    <row r="1368" spans="1:2" x14ac:dyDescent="0.3">
      <c r="A1368" t="s">
        <v>2486</v>
      </c>
      <c r="B1368" t="s">
        <v>3793</v>
      </c>
    </row>
    <row r="1369" spans="1:2" x14ac:dyDescent="0.3">
      <c r="A1369" t="s">
        <v>2488</v>
      </c>
      <c r="B1369" t="s">
        <v>3794</v>
      </c>
    </row>
    <row r="1370" spans="1:2" x14ac:dyDescent="0.3">
      <c r="A1370" t="s">
        <v>2490</v>
      </c>
      <c r="B1370" t="s">
        <v>3795</v>
      </c>
    </row>
    <row r="1371" spans="1:2" x14ac:dyDescent="0.3">
      <c r="A1371" t="s">
        <v>2492</v>
      </c>
      <c r="B1371" t="e" cm="1">
        <f t="array" ref="B1371">- из числа впервые зарегистрированных- больных</f>
        <v>#NAME?</v>
      </c>
    </row>
    <row r="1372" spans="1:2" x14ac:dyDescent="0.3">
      <c r="A1372" t="s">
        <v>2493</v>
      </c>
      <c r="B1372" t="e" cm="1">
        <f t="array" ref="B1372">- умерло в стационаре</f>
        <v>#NAME?</v>
      </c>
    </row>
    <row r="1373" spans="1:2" x14ac:dyDescent="0.3">
      <c r="A1373" t="s">
        <v>2494</v>
      </c>
      <c r="B1373" t="s">
        <v>3796</v>
      </c>
    </row>
    <row r="1374" spans="1:2" x14ac:dyDescent="0.3">
      <c r="A1374" t="s">
        <v>2496</v>
      </c>
      <c r="B1374" t="e">
        <f>- больные, не состоящие на учете</f>
        <v>#NAME?</v>
      </c>
    </row>
    <row r="1375" spans="1:2" x14ac:dyDescent="0.3">
      <c r="A1375" t="s">
        <v>2497</v>
      </c>
      <c r="B1375" t="s">
        <v>3797</v>
      </c>
    </row>
    <row r="1376" spans="1:2" x14ac:dyDescent="0.3">
      <c r="A1376" t="s">
        <v>2499</v>
      </c>
      <c r="B1376" t="s">
        <v>3798</v>
      </c>
    </row>
    <row r="1377" spans="1:2" x14ac:dyDescent="0.3">
      <c r="A1377" t="s">
        <v>2501</v>
      </c>
      <c r="B1377" t="s">
        <v>3799</v>
      </c>
    </row>
    <row r="1378" spans="1:2" x14ac:dyDescent="0.3">
      <c r="A1378" t="s">
        <v>2503</v>
      </c>
      <c r="B1378" t="s">
        <v>3800</v>
      </c>
    </row>
    <row r="1379" spans="1:2" x14ac:dyDescent="0.3">
      <c r="A1379" t="s">
        <v>2505</v>
      </c>
      <c r="B1379" t="s">
        <v>3801</v>
      </c>
    </row>
    <row r="1380" spans="1:2" x14ac:dyDescent="0.3">
      <c r="A1380" t="s">
        <v>2507</v>
      </c>
      <c r="B1380" t="s">
        <v>3802</v>
      </c>
    </row>
    <row r="1381" spans="1:2" x14ac:dyDescent="0.3">
      <c r="A1381" t="s">
        <v>2509</v>
      </c>
      <c r="B1381" t="s">
        <v>3803</v>
      </c>
    </row>
    <row r="1382" spans="1:2" x14ac:dyDescent="0.3">
      <c r="A1382" t="s">
        <v>2511</v>
      </c>
      <c r="B1382" t="s">
        <v>3804</v>
      </c>
    </row>
    <row r="1383" spans="1:2" x14ac:dyDescent="0.3">
      <c r="A1383" t="s">
        <v>2513</v>
      </c>
      <c r="B1383" t="s">
        <v>3805</v>
      </c>
    </row>
    <row r="1384" spans="1:2" x14ac:dyDescent="0.3">
      <c r="A1384" t="s">
        <v>2515</v>
      </c>
      <c r="B1384" t="s">
        <v>3806</v>
      </c>
    </row>
    <row r="1385" spans="1:2" x14ac:dyDescent="0.3">
      <c r="A1385" t="s">
        <v>2517</v>
      </c>
      <c r="B1385" t="s">
        <v>3807</v>
      </c>
    </row>
    <row r="1386" spans="1:2" x14ac:dyDescent="0.3">
      <c r="A1386" t="s">
        <v>2519</v>
      </c>
      <c r="B1386" t="s">
        <v>3808</v>
      </c>
    </row>
    <row r="1387" spans="1:2" x14ac:dyDescent="0.3">
      <c r="A1387" t="s">
        <v>2521</v>
      </c>
      <c r="B1387" t="s">
        <v>3809</v>
      </c>
    </row>
    <row r="1388" spans="1:2" x14ac:dyDescent="0.3">
      <c r="A1388" t="s">
        <v>2523</v>
      </c>
      <c r="B1388" t="s">
        <v>3810</v>
      </c>
    </row>
    <row r="1389" spans="1:2" x14ac:dyDescent="0.3">
      <c r="A1389" t="s">
        <v>2525</v>
      </c>
      <c r="B1389" t="s">
        <v>3811</v>
      </c>
    </row>
    <row r="1390" spans="1:2" x14ac:dyDescent="0.3">
      <c r="A1390" t="s">
        <v>2527</v>
      </c>
      <c r="B1390" t="s">
        <v>3812</v>
      </c>
    </row>
    <row r="1391" spans="1:2" x14ac:dyDescent="0.3">
      <c r="A1391" t="s">
        <v>2529</v>
      </c>
      <c r="B1391" t="s">
        <v>3813</v>
      </c>
    </row>
    <row r="1392" spans="1:2" x14ac:dyDescent="0.3">
      <c r="A1392" t="s">
        <v>2531</v>
      </c>
      <c r="B1392" t="s">
        <v>3814</v>
      </c>
    </row>
    <row r="1393" spans="1:2" x14ac:dyDescent="0.3">
      <c r="A1393" t="s">
        <v>2533</v>
      </c>
      <c r="B1393" t="s">
        <v>3815</v>
      </c>
    </row>
    <row r="1394" spans="1:2" x14ac:dyDescent="0.3">
      <c r="A1394" t="s">
        <v>2535</v>
      </c>
      <c r="B1394" t="s">
        <v>3816</v>
      </c>
    </row>
    <row r="1395" spans="1:2" x14ac:dyDescent="0.3">
      <c r="A1395" t="s">
        <v>2537</v>
      </c>
      <c r="B1395" t="s">
        <v>3817</v>
      </c>
    </row>
    <row r="1396" spans="1:2" x14ac:dyDescent="0.3">
      <c r="A1396" t="s">
        <v>2538</v>
      </c>
      <c r="B1396" t="s">
        <v>3818</v>
      </c>
    </row>
    <row r="1397" spans="1:2" x14ac:dyDescent="0.3">
      <c r="A1397" t="s">
        <v>2540</v>
      </c>
      <c r="B1397" t="s">
        <v>3819</v>
      </c>
    </row>
    <row r="1398" spans="1:2" x14ac:dyDescent="0.3">
      <c r="A1398" t="s">
        <v>2542</v>
      </c>
      <c r="B1398" t="s">
        <v>3820</v>
      </c>
    </row>
    <row r="1399" spans="1:2" x14ac:dyDescent="0.3">
      <c r="A1399" t="s">
        <v>2544</v>
      </c>
      <c r="B1399" t="s">
        <v>2553</v>
      </c>
    </row>
    <row r="1400" spans="1:2" x14ac:dyDescent="0.3">
      <c r="A1400" t="s">
        <v>2545</v>
      </c>
      <c r="B1400" t="s">
        <v>3821</v>
      </c>
    </row>
    <row r="1401" spans="1:2" x14ac:dyDescent="0.3">
      <c r="A1401" t="s">
        <v>2547</v>
      </c>
      <c r="B1401" t="s">
        <v>3822</v>
      </c>
    </row>
    <row r="1402" spans="1:2" x14ac:dyDescent="0.3">
      <c r="A1402" t="s">
        <v>2549</v>
      </c>
      <c r="B1402" t="s">
        <v>3823</v>
      </c>
    </row>
    <row r="1403" spans="1:2" x14ac:dyDescent="0.3">
      <c r="A1403" t="s">
        <v>2551</v>
      </c>
      <c r="B1403" t="s">
        <v>2552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5C90B-DB84-4BD6-A167-37DAF2FF5164}">
  <dimension ref="A1:B938"/>
  <sheetViews>
    <sheetView workbookViewId="0"/>
  </sheetViews>
  <sheetFormatPr defaultRowHeight="14.4" x14ac:dyDescent="0.3"/>
  <cols>
    <col min="1" max="1" width="63.77734375" bestFit="1" customWidth="1"/>
  </cols>
  <sheetData>
    <row r="1" spans="1:2" x14ac:dyDescent="0.3">
      <c r="A1" t="s">
        <v>4</v>
      </c>
      <c r="B1" t="s">
        <v>2553</v>
      </c>
    </row>
    <row r="2" spans="1:2" x14ac:dyDescent="0.3">
      <c r="A2" t="s">
        <v>6</v>
      </c>
      <c r="B2" t="s">
        <v>7</v>
      </c>
    </row>
    <row r="3" spans="1:2" x14ac:dyDescent="0.3">
      <c r="A3" t="s">
        <v>8</v>
      </c>
      <c r="B3" t="s">
        <v>9</v>
      </c>
    </row>
    <row r="4" spans="1:2" x14ac:dyDescent="0.3">
      <c r="A4" t="s">
        <v>10</v>
      </c>
      <c r="B4" t="s">
        <v>11</v>
      </c>
    </row>
    <row r="5" spans="1:2" x14ac:dyDescent="0.3">
      <c r="A5" t="s">
        <v>12</v>
      </c>
      <c r="B5" t="s">
        <v>2554</v>
      </c>
    </row>
    <row r="6" spans="1:2" x14ac:dyDescent="0.3">
      <c r="A6" t="s">
        <v>14</v>
      </c>
      <c r="B6" t="s">
        <v>2555</v>
      </c>
    </row>
    <row r="7" spans="1:2" x14ac:dyDescent="0.3">
      <c r="A7" t="s">
        <v>16</v>
      </c>
      <c r="B7" t="s">
        <v>2556</v>
      </c>
    </row>
    <row r="8" spans="1:2" x14ac:dyDescent="0.3">
      <c r="A8" t="s">
        <v>18</v>
      </c>
      <c r="B8" t="s">
        <v>2557</v>
      </c>
    </row>
    <row r="9" spans="1:2" x14ac:dyDescent="0.3">
      <c r="A9" t="s">
        <v>20</v>
      </c>
      <c r="B9" t="s">
        <v>2558</v>
      </c>
    </row>
    <row r="10" spans="1:2" x14ac:dyDescent="0.3">
      <c r="A10" t="s">
        <v>22</v>
      </c>
      <c r="B10" t="s">
        <v>2559</v>
      </c>
    </row>
    <row r="11" spans="1:2" x14ac:dyDescent="0.3">
      <c r="A11" t="s">
        <v>24</v>
      </c>
      <c r="B11" t="s">
        <v>2560</v>
      </c>
    </row>
    <row r="12" spans="1:2" x14ac:dyDescent="0.3">
      <c r="A12" t="s">
        <v>26</v>
      </c>
      <c r="B12" t="s">
        <v>2561</v>
      </c>
    </row>
    <row r="13" spans="1:2" x14ac:dyDescent="0.3">
      <c r="A13" t="s">
        <v>28</v>
      </c>
      <c r="B13" t="s">
        <v>29</v>
      </c>
    </row>
    <row r="14" spans="1:2" x14ac:dyDescent="0.3">
      <c r="A14" t="s">
        <v>30</v>
      </c>
      <c r="B14" t="s">
        <v>2562</v>
      </c>
    </row>
    <row r="15" spans="1:2" x14ac:dyDescent="0.3">
      <c r="A15" t="s">
        <v>32</v>
      </c>
      <c r="B15" t="s">
        <v>33</v>
      </c>
    </row>
    <row r="16" spans="1:2" x14ac:dyDescent="0.3">
      <c r="A16" t="s">
        <v>34</v>
      </c>
      <c r="B16" t="s">
        <v>2563</v>
      </c>
    </row>
    <row r="17" spans="1:2" x14ac:dyDescent="0.3">
      <c r="A17" t="s">
        <v>36</v>
      </c>
      <c r="B17" t="s">
        <v>2564</v>
      </c>
    </row>
    <row r="18" spans="1:2" x14ac:dyDescent="0.3">
      <c r="A18" t="s">
        <v>38</v>
      </c>
      <c r="B18" t="s">
        <v>2565</v>
      </c>
    </row>
    <row r="19" spans="1:2" x14ac:dyDescent="0.3">
      <c r="A19" t="s">
        <v>40</v>
      </c>
      <c r="B19" t="s">
        <v>2566</v>
      </c>
    </row>
    <row r="20" spans="1:2" x14ac:dyDescent="0.3">
      <c r="A20" t="s">
        <v>42</v>
      </c>
      <c r="B20" t="s">
        <v>2567</v>
      </c>
    </row>
    <row r="21" spans="1:2" x14ac:dyDescent="0.3">
      <c r="A21" t="s">
        <v>44</v>
      </c>
      <c r="B21" t="s">
        <v>2568</v>
      </c>
    </row>
    <row r="22" spans="1:2" x14ac:dyDescent="0.3">
      <c r="A22" t="s">
        <v>46</v>
      </c>
      <c r="B22" t="s">
        <v>2569</v>
      </c>
    </row>
    <row r="23" spans="1:2" x14ac:dyDescent="0.3">
      <c r="A23" t="s">
        <v>48</v>
      </c>
      <c r="B23" t="s">
        <v>2570</v>
      </c>
    </row>
    <row r="24" spans="1:2" x14ac:dyDescent="0.3">
      <c r="A24" t="s">
        <v>50</v>
      </c>
      <c r="B24" t="s">
        <v>2571</v>
      </c>
    </row>
    <row r="25" spans="1:2" x14ac:dyDescent="0.3">
      <c r="A25" t="s">
        <v>52</v>
      </c>
      <c r="B25" t="s">
        <v>2572</v>
      </c>
    </row>
    <row r="26" spans="1:2" x14ac:dyDescent="0.3">
      <c r="A26" t="s">
        <v>54</v>
      </c>
      <c r="B26" t="s">
        <v>2573</v>
      </c>
    </row>
    <row r="27" spans="1:2" x14ac:dyDescent="0.3">
      <c r="A27" t="s">
        <v>56</v>
      </c>
      <c r="B27" t="s">
        <v>2574</v>
      </c>
    </row>
    <row r="28" spans="1:2" x14ac:dyDescent="0.3">
      <c r="A28" t="s">
        <v>58</v>
      </c>
      <c r="B28" t="s">
        <v>2575</v>
      </c>
    </row>
    <row r="29" spans="1:2" x14ac:dyDescent="0.3">
      <c r="A29" t="s">
        <v>60</v>
      </c>
      <c r="B29" t="s">
        <v>2576</v>
      </c>
    </row>
    <row r="30" spans="1:2" x14ac:dyDescent="0.3">
      <c r="A30" t="s">
        <v>62</v>
      </c>
      <c r="B30" t="s">
        <v>2577</v>
      </c>
    </row>
    <row r="31" spans="1:2" x14ac:dyDescent="0.3">
      <c r="A31" t="s">
        <v>64</v>
      </c>
      <c r="B31" t="s">
        <v>2577</v>
      </c>
    </row>
    <row r="32" spans="1:2" x14ac:dyDescent="0.3">
      <c r="A32" t="s">
        <v>65</v>
      </c>
      <c r="B32" t="s">
        <v>2578</v>
      </c>
    </row>
    <row r="33" spans="1:2" x14ac:dyDescent="0.3">
      <c r="A33" t="s">
        <v>67</v>
      </c>
      <c r="B33" t="s">
        <v>2579</v>
      </c>
    </row>
    <row r="34" spans="1:2" x14ac:dyDescent="0.3">
      <c r="A34" t="s">
        <v>68</v>
      </c>
      <c r="B34" t="s">
        <v>2580</v>
      </c>
    </row>
    <row r="35" spans="1:2" x14ac:dyDescent="0.3">
      <c r="A35" t="s">
        <v>70</v>
      </c>
      <c r="B35" t="s">
        <v>2581</v>
      </c>
    </row>
    <row r="36" spans="1:2" x14ac:dyDescent="0.3">
      <c r="A36" t="s">
        <v>72</v>
      </c>
      <c r="B36" t="s">
        <v>2582</v>
      </c>
    </row>
    <row r="37" spans="1:2" x14ac:dyDescent="0.3">
      <c r="A37" t="s">
        <v>74</v>
      </c>
      <c r="B37" t="s">
        <v>2583</v>
      </c>
    </row>
    <row r="38" spans="1:2" x14ac:dyDescent="0.3">
      <c r="A38" t="s">
        <v>76</v>
      </c>
      <c r="B38" t="s">
        <v>2584</v>
      </c>
    </row>
    <row r="39" spans="1:2" x14ac:dyDescent="0.3">
      <c r="A39" t="s">
        <v>78</v>
      </c>
      <c r="B39" t="s">
        <v>2585</v>
      </c>
    </row>
    <row r="40" spans="1:2" x14ac:dyDescent="0.3">
      <c r="A40" t="s">
        <v>80</v>
      </c>
      <c r="B40" t="s">
        <v>2586</v>
      </c>
    </row>
    <row r="41" spans="1:2" x14ac:dyDescent="0.3">
      <c r="A41" t="s">
        <v>82</v>
      </c>
      <c r="B41" t="s">
        <v>2587</v>
      </c>
    </row>
    <row r="42" spans="1:2" x14ac:dyDescent="0.3">
      <c r="A42" t="s">
        <v>84</v>
      </c>
      <c r="B42" t="s">
        <v>85</v>
      </c>
    </row>
    <row r="43" spans="1:2" x14ac:dyDescent="0.3">
      <c r="A43" t="s">
        <v>86</v>
      </c>
      <c r="B43" t="s">
        <v>87</v>
      </c>
    </row>
    <row r="44" spans="1:2" x14ac:dyDescent="0.3">
      <c r="A44" t="s">
        <v>88</v>
      </c>
      <c r="B44" t="s">
        <v>89</v>
      </c>
    </row>
    <row r="45" spans="1:2" x14ac:dyDescent="0.3">
      <c r="A45" t="s">
        <v>90</v>
      </c>
      <c r="B45" t="s">
        <v>91</v>
      </c>
    </row>
    <row r="46" spans="1:2" x14ac:dyDescent="0.3">
      <c r="A46" t="s">
        <v>92</v>
      </c>
      <c r="B46" t="s">
        <v>93</v>
      </c>
    </row>
    <row r="48" spans="1:2" x14ac:dyDescent="0.3">
      <c r="A48" t="s">
        <v>94</v>
      </c>
      <c r="B48" t="s">
        <v>95</v>
      </c>
    </row>
    <row r="49" spans="1:2" x14ac:dyDescent="0.3">
      <c r="A49" t="s">
        <v>96</v>
      </c>
      <c r="B49" t="s">
        <v>97</v>
      </c>
    </row>
    <row r="50" spans="1:2" x14ac:dyDescent="0.3">
      <c r="A50" t="s">
        <v>98</v>
      </c>
      <c r="B50" t="s">
        <v>99</v>
      </c>
    </row>
    <row r="51" spans="1:2" x14ac:dyDescent="0.3">
      <c r="A51" t="s">
        <v>100</v>
      </c>
      <c r="B51" t="s">
        <v>101</v>
      </c>
    </row>
    <row r="52" spans="1:2" x14ac:dyDescent="0.3">
      <c r="A52" t="s">
        <v>102</v>
      </c>
      <c r="B52" t="s">
        <v>103</v>
      </c>
    </row>
    <row r="53" spans="1:2" x14ac:dyDescent="0.3">
      <c r="A53" t="s">
        <v>104</v>
      </c>
      <c r="B53" t="s">
        <v>105</v>
      </c>
    </row>
    <row r="54" spans="1:2" x14ac:dyDescent="0.3">
      <c r="A54" t="s">
        <v>106</v>
      </c>
      <c r="B54" t="s">
        <v>107</v>
      </c>
    </row>
    <row r="55" spans="1:2" x14ac:dyDescent="0.3">
      <c r="A55" t="s">
        <v>108</v>
      </c>
      <c r="B55" t="s">
        <v>109</v>
      </c>
    </row>
    <row r="56" spans="1:2" x14ac:dyDescent="0.3">
      <c r="A56" t="s">
        <v>110</v>
      </c>
      <c r="B56" t="s">
        <v>111</v>
      </c>
    </row>
    <row r="57" spans="1:2" x14ac:dyDescent="0.3">
      <c r="A57" t="s">
        <v>112</v>
      </c>
      <c r="B57" t="s">
        <v>113</v>
      </c>
    </row>
    <row r="58" spans="1:2" x14ac:dyDescent="0.3">
      <c r="A58" t="s">
        <v>114</v>
      </c>
      <c r="B58" t="s">
        <v>115</v>
      </c>
    </row>
    <row r="59" spans="1:2" x14ac:dyDescent="0.3">
      <c r="A59" t="s">
        <v>116</v>
      </c>
      <c r="B59" t="s">
        <v>117</v>
      </c>
    </row>
    <row r="60" spans="1:2" x14ac:dyDescent="0.3">
      <c r="A60" t="s">
        <v>118</v>
      </c>
      <c r="B60" t="s">
        <v>119</v>
      </c>
    </row>
    <row r="61" spans="1:2" x14ac:dyDescent="0.3">
      <c r="A61" t="s">
        <v>120</v>
      </c>
      <c r="B61" t="s">
        <v>121</v>
      </c>
    </row>
    <row r="63" spans="1:2" x14ac:dyDescent="0.3">
      <c r="A63" t="s">
        <v>122</v>
      </c>
      <c r="B63" t="s">
        <v>123</v>
      </c>
    </row>
    <row r="64" spans="1:2" x14ac:dyDescent="0.3">
      <c r="A64" t="s">
        <v>124</v>
      </c>
      <c r="B64" t="s">
        <v>125</v>
      </c>
    </row>
    <row r="65" spans="1:2" x14ac:dyDescent="0.3">
      <c r="A65" t="s">
        <v>126</v>
      </c>
      <c r="B65" t="s">
        <v>127</v>
      </c>
    </row>
    <row r="66" spans="1:2" x14ac:dyDescent="0.3">
      <c r="A66" t="s">
        <v>128</v>
      </c>
      <c r="B66" t="s">
        <v>129</v>
      </c>
    </row>
    <row r="67" spans="1:2" x14ac:dyDescent="0.3">
      <c r="A67" t="s">
        <v>130</v>
      </c>
      <c r="B67" t="s">
        <v>131</v>
      </c>
    </row>
    <row r="68" spans="1:2" x14ac:dyDescent="0.3">
      <c r="A68" t="s">
        <v>132</v>
      </c>
      <c r="B68" t="s">
        <v>133</v>
      </c>
    </row>
    <row r="69" spans="1:2" x14ac:dyDescent="0.3">
      <c r="A69" t="s">
        <v>134</v>
      </c>
      <c r="B69" t="s">
        <v>135</v>
      </c>
    </row>
    <row r="70" spans="1:2" x14ac:dyDescent="0.3">
      <c r="A70" t="s">
        <v>136</v>
      </c>
      <c r="B70" t="s">
        <v>137</v>
      </c>
    </row>
    <row r="71" spans="1:2" x14ac:dyDescent="0.3">
      <c r="A71" t="s">
        <v>138</v>
      </c>
      <c r="B71" t="s">
        <v>139</v>
      </c>
    </row>
    <row r="72" spans="1:2" x14ac:dyDescent="0.3">
      <c r="A72" t="s">
        <v>140</v>
      </c>
      <c r="B72" t="s">
        <v>141</v>
      </c>
    </row>
    <row r="73" spans="1:2" x14ac:dyDescent="0.3">
      <c r="A73" t="s">
        <v>142</v>
      </c>
      <c r="B73" t="s">
        <v>143</v>
      </c>
    </row>
    <row r="74" spans="1:2" x14ac:dyDescent="0.3">
      <c r="A74" t="s">
        <v>144</v>
      </c>
      <c r="B74" t="s">
        <v>145</v>
      </c>
    </row>
    <row r="75" spans="1:2" x14ac:dyDescent="0.3">
      <c r="A75" t="s">
        <v>146</v>
      </c>
      <c r="B75" t="s">
        <v>147</v>
      </c>
    </row>
    <row r="76" spans="1:2" x14ac:dyDescent="0.3">
      <c r="A76" t="s">
        <v>148</v>
      </c>
      <c r="B76" t="s">
        <v>149</v>
      </c>
    </row>
    <row r="77" spans="1:2" x14ac:dyDescent="0.3">
      <c r="A77" t="s">
        <v>150</v>
      </c>
      <c r="B77" t="s">
        <v>151</v>
      </c>
    </row>
    <row r="78" spans="1:2" x14ac:dyDescent="0.3">
      <c r="A78" t="s">
        <v>152</v>
      </c>
      <c r="B78" t="s">
        <v>153</v>
      </c>
    </row>
    <row r="79" spans="1:2" x14ac:dyDescent="0.3">
      <c r="A79" t="s">
        <v>154</v>
      </c>
      <c r="B79" t="s">
        <v>155</v>
      </c>
    </row>
    <row r="80" spans="1:2" x14ac:dyDescent="0.3">
      <c r="A80" t="s">
        <v>156</v>
      </c>
      <c r="B80" t="s">
        <v>157</v>
      </c>
    </row>
    <row r="81" spans="1:2" x14ac:dyDescent="0.3">
      <c r="A81" t="s">
        <v>158</v>
      </c>
      <c r="B81" t="s">
        <v>159</v>
      </c>
    </row>
    <row r="82" spans="1:2" x14ac:dyDescent="0.3">
      <c r="A82" t="s">
        <v>160</v>
      </c>
      <c r="B82" t="s">
        <v>161</v>
      </c>
    </row>
    <row r="83" spans="1:2" x14ac:dyDescent="0.3">
      <c r="A83" t="s">
        <v>162</v>
      </c>
      <c r="B83" t="s">
        <v>163</v>
      </c>
    </row>
    <row r="84" spans="1:2" x14ac:dyDescent="0.3">
      <c r="A84" t="s">
        <v>164</v>
      </c>
      <c r="B84" t="s">
        <v>165</v>
      </c>
    </row>
    <row r="85" spans="1:2" x14ac:dyDescent="0.3">
      <c r="A85" t="s">
        <v>166</v>
      </c>
      <c r="B85" t="s">
        <v>167</v>
      </c>
    </row>
    <row r="87" spans="1:2" x14ac:dyDescent="0.3">
      <c r="A87" t="s">
        <v>168</v>
      </c>
      <c r="B87" t="s">
        <v>169</v>
      </c>
    </row>
    <row r="88" spans="1:2" x14ac:dyDescent="0.3">
      <c r="A88" t="s">
        <v>170</v>
      </c>
      <c r="B88" t="s">
        <v>171</v>
      </c>
    </row>
    <row r="90" spans="1:2" x14ac:dyDescent="0.3">
      <c r="A90" t="s">
        <v>172</v>
      </c>
      <c r="B90" t="s">
        <v>173</v>
      </c>
    </row>
    <row r="91" spans="1:2" x14ac:dyDescent="0.3">
      <c r="A91" t="s">
        <v>174</v>
      </c>
      <c r="B91" t="s">
        <v>175</v>
      </c>
    </row>
    <row r="93" spans="1:2" x14ac:dyDescent="0.3">
      <c r="A93" t="s">
        <v>176</v>
      </c>
      <c r="B93" t="s">
        <v>177</v>
      </c>
    </row>
    <row r="94" spans="1:2" x14ac:dyDescent="0.3">
      <c r="A94" t="s">
        <v>178</v>
      </c>
      <c r="B94" t="s">
        <v>179</v>
      </c>
    </row>
    <row r="95" spans="1:2" x14ac:dyDescent="0.3">
      <c r="A95" t="s">
        <v>180</v>
      </c>
      <c r="B95" t="s">
        <v>181</v>
      </c>
    </row>
    <row r="96" spans="1:2" x14ac:dyDescent="0.3">
      <c r="A96" t="s">
        <v>182</v>
      </c>
      <c r="B96" t="s">
        <v>183</v>
      </c>
    </row>
    <row r="97" spans="1:2" x14ac:dyDescent="0.3">
      <c r="A97" t="s">
        <v>184</v>
      </c>
      <c r="B97" t="s">
        <v>185</v>
      </c>
    </row>
    <row r="98" spans="1:2" x14ac:dyDescent="0.3">
      <c r="A98" t="s">
        <v>186</v>
      </c>
      <c r="B98" t="s">
        <v>187</v>
      </c>
    </row>
    <row r="99" spans="1:2" x14ac:dyDescent="0.3">
      <c r="A99" t="s">
        <v>188</v>
      </c>
      <c r="B99" t="s">
        <v>189</v>
      </c>
    </row>
    <row r="101" spans="1:2" x14ac:dyDescent="0.3">
      <c r="A101" t="s">
        <v>190</v>
      </c>
      <c r="B101" t="s">
        <v>191</v>
      </c>
    </row>
    <row r="102" spans="1:2" x14ac:dyDescent="0.3">
      <c r="A102" t="s">
        <v>192</v>
      </c>
      <c r="B102" t="s">
        <v>193</v>
      </c>
    </row>
    <row r="103" spans="1:2" x14ac:dyDescent="0.3">
      <c r="A103" t="s">
        <v>194</v>
      </c>
      <c r="B103" t="s">
        <v>195</v>
      </c>
    </row>
    <row r="104" spans="1:2" x14ac:dyDescent="0.3">
      <c r="A104" t="s">
        <v>196</v>
      </c>
      <c r="B104" t="s">
        <v>197</v>
      </c>
    </row>
    <row r="105" spans="1:2" x14ac:dyDescent="0.3">
      <c r="A105" t="s">
        <v>198</v>
      </c>
      <c r="B105" t="s">
        <v>199</v>
      </c>
    </row>
    <row r="107" spans="1:2" x14ac:dyDescent="0.3">
      <c r="A107" t="s">
        <v>200</v>
      </c>
      <c r="B107" t="s">
        <v>201</v>
      </c>
    </row>
    <row r="109" spans="1:2" x14ac:dyDescent="0.3">
      <c r="A109" t="s">
        <v>202</v>
      </c>
      <c r="B109" t="s">
        <v>203</v>
      </c>
    </row>
    <row r="110" spans="1:2" x14ac:dyDescent="0.3">
      <c r="A110" t="s">
        <v>204</v>
      </c>
      <c r="B110" t="s">
        <v>205</v>
      </c>
    </row>
    <row r="111" spans="1:2" x14ac:dyDescent="0.3">
      <c r="A111" t="s">
        <v>206</v>
      </c>
      <c r="B111" t="s">
        <v>207</v>
      </c>
    </row>
    <row r="112" spans="1:2" x14ac:dyDescent="0.3">
      <c r="A112" t="s">
        <v>208</v>
      </c>
      <c r="B112" t="s">
        <v>209</v>
      </c>
    </row>
    <row r="113" spans="1:2" x14ac:dyDescent="0.3">
      <c r="A113" t="s">
        <v>210</v>
      </c>
      <c r="B113" t="s">
        <v>211</v>
      </c>
    </row>
    <row r="115" spans="1:2" x14ac:dyDescent="0.3">
      <c r="A115" t="s">
        <v>212</v>
      </c>
      <c r="B115" t="s">
        <v>213</v>
      </c>
    </row>
    <row r="116" spans="1:2" x14ac:dyDescent="0.3">
      <c r="A116" t="s">
        <v>214</v>
      </c>
      <c r="B116" t="s">
        <v>215</v>
      </c>
    </row>
    <row r="117" spans="1:2" x14ac:dyDescent="0.3">
      <c r="A117" t="s">
        <v>216</v>
      </c>
      <c r="B117" t="s">
        <v>217</v>
      </c>
    </row>
    <row r="118" spans="1:2" x14ac:dyDescent="0.3">
      <c r="A118" t="s">
        <v>218</v>
      </c>
      <c r="B118" t="s">
        <v>219</v>
      </c>
    </row>
    <row r="119" spans="1:2" x14ac:dyDescent="0.3">
      <c r="A119" t="s">
        <v>220</v>
      </c>
      <c r="B119" t="s">
        <v>221</v>
      </c>
    </row>
    <row r="121" spans="1:2" x14ac:dyDescent="0.3">
      <c r="A121" t="s">
        <v>222</v>
      </c>
      <c r="B121" t="s">
        <v>223</v>
      </c>
    </row>
    <row r="122" spans="1:2" x14ac:dyDescent="0.3">
      <c r="A122" t="s">
        <v>224</v>
      </c>
      <c r="B122" t="s">
        <v>225</v>
      </c>
    </row>
    <row r="124" spans="1:2" x14ac:dyDescent="0.3">
      <c r="A124" t="s">
        <v>226</v>
      </c>
      <c r="B124" t="s">
        <v>227</v>
      </c>
    </row>
    <row r="125" spans="1:2" x14ac:dyDescent="0.3">
      <c r="A125" t="s">
        <v>228</v>
      </c>
      <c r="B125" t="s">
        <v>229</v>
      </c>
    </row>
    <row r="126" spans="1:2" x14ac:dyDescent="0.3">
      <c r="A126" t="s">
        <v>230</v>
      </c>
      <c r="B126" t="s">
        <v>231</v>
      </c>
    </row>
    <row r="128" spans="1:2" x14ac:dyDescent="0.3">
      <c r="A128" t="s">
        <v>232</v>
      </c>
      <c r="B128" t="s">
        <v>233</v>
      </c>
    </row>
    <row r="129" spans="1:2" x14ac:dyDescent="0.3">
      <c r="A129" t="s">
        <v>234</v>
      </c>
      <c r="B129" t="s">
        <v>235</v>
      </c>
    </row>
    <row r="130" spans="1:2" x14ac:dyDescent="0.3">
      <c r="A130" t="s">
        <v>236</v>
      </c>
      <c r="B130" t="s">
        <v>237</v>
      </c>
    </row>
    <row r="131" spans="1:2" x14ac:dyDescent="0.3">
      <c r="A131" t="s">
        <v>238</v>
      </c>
      <c r="B131" t="s">
        <v>239</v>
      </c>
    </row>
    <row r="133" spans="1:2" x14ac:dyDescent="0.3">
      <c r="A133" t="s">
        <v>240</v>
      </c>
      <c r="B133" t="s">
        <v>241</v>
      </c>
    </row>
    <row r="134" spans="1:2" x14ac:dyDescent="0.3">
      <c r="A134" t="s">
        <v>242</v>
      </c>
      <c r="B134" t="s">
        <v>243</v>
      </c>
    </row>
    <row r="135" spans="1:2" x14ac:dyDescent="0.3">
      <c r="A135" t="s">
        <v>244</v>
      </c>
      <c r="B135" t="s">
        <v>245</v>
      </c>
    </row>
    <row r="136" spans="1:2" x14ac:dyDescent="0.3">
      <c r="A136" t="s">
        <v>246</v>
      </c>
      <c r="B136" t="s">
        <v>247</v>
      </c>
    </row>
    <row r="138" spans="1:2" x14ac:dyDescent="0.3">
      <c r="A138" t="s">
        <v>248</v>
      </c>
      <c r="B138" t="s">
        <v>249</v>
      </c>
    </row>
    <row r="139" spans="1:2" x14ac:dyDescent="0.3">
      <c r="A139" t="s">
        <v>250</v>
      </c>
      <c r="B139" t="s">
        <v>251</v>
      </c>
    </row>
    <row r="140" spans="1:2" x14ac:dyDescent="0.3">
      <c r="A140" t="s">
        <v>252</v>
      </c>
      <c r="B140" t="s">
        <v>253</v>
      </c>
    </row>
    <row r="141" spans="1:2" x14ac:dyDescent="0.3">
      <c r="A141" t="s">
        <v>254</v>
      </c>
      <c r="B141" t="s">
        <v>255</v>
      </c>
    </row>
    <row r="142" spans="1:2" x14ac:dyDescent="0.3">
      <c r="A142" t="s">
        <v>256</v>
      </c>
      <c r="B142" t="s">
        <v>257</v>
      </c>
    </row>
    <row r="143" spans="1:2" x14ac:dyDescent="0.3">
      <c r="A143" t="s">
        <v>258</v>
      </c>
      <c r="B143" t="s">
        <v>259</v>
      </c>
    </row>
    <row r="145" spans="1:2" x14ac:dyDescent="0.3">
      <c r="A145" t="s">
        <v>260</v>
      </c>
      <c r="B145" t="s">
        <v>261</v>
      </c>
    </row>
    <row r="146" spans="1:2" x14ac:dyDescent="0.3">
      <c r="A146" t="s">
        <v>262</v>
      </c>
      <c r="B146" t="s">
        <v>263</v>
      </c>
    </row>
    <row r="147" spans="1:2" x14ac:dyDescent="0.3">
      <c r="A147" t="s">
        <v>264</v>
      </c>
      <c r="B147" t="s">
        <v>265</v>
      </c>
    </row>
    <row r="148" spans="1:2" x14ac:dyDescent="0.3">
      <c r="A148" t="s">
        <v>266</v>
      </c>
      <c r="B148" t="s">
        <v>267</v>
      </c>
    </row>
    <row r="149" spans="1:2" x14ac:dyDescent="0.3">
      <c r="A149" t="s">
        <v>268</v>
      </c>
      <c r="B149" t="s">
        <v>269</v>
      </c>
    </row>
    <row r="150" spans="1:2" x14ac:dyDescent="0.3">
      <c r="A150" t="s">
        <v>270</v>
      </c>
      <c r="B150" t="s">
        <v>271</v>
      </c>
    </row>
    <row r="151" spans="1:2" x14ac:dyDescent="0.3">
      <c r="A151" t="s">
        <v>272</v>
      </c>
      <c r="B151" t="s">
        <v>273</v>
      </c>
    </row>
    <row r="152" spans="1:2" x14ac:dyDescent="0.3">
      <c r="A152" t="s">
        <v>274</v>
      </c>
      <c r="B152" t="s">
        <v>275</v>
      </c>
    </row>
    <row r="154" spans="1:2" x14ac:dyDescent="0.3">
      <c r="A154" t="s">
        <v>276</v>
      </c>
      <c r="B154" t="s">
        <v>277</v>
      </c>
    </row>
    <row r="155" spans="1:2" x14ac:dyDescent="0.3">
      <c r="A155" t="s">
        <v>278</v>
      </c>
      <c r="B155" t="s">
        <v>279</v>
      </c>
    </row>
    <row r="156" spans="1:2" x14ac:dyDescent="0.3">
      <c r="A156" t="s">
        <v>280</v>
      </c>
      <c r="B156" t="s">
        <v>281</v>
      </c>
    </row>
    <row r="157" spans="1:2" x14ac:dyDescent="0.3">
      <c r="A157" t="s">
        <v>282</v>
      </c>
      <c r="B157" t="s">
        <v>283</v>
      </c>
    </row>
    <row r="158" spans="1:2" x14ac:dyDescent="0.3">
      <c r="A158" t="s">
        <v>284</v>
      </c>
      <c r="B158" t="s">
        <v>285</v>
      </c>
    </row>
    <row r="159" spans="1:2" x14ac:dyDescent="0.3">
      <c r="A159" t="s">
        <v>286</v>
      </c>
      <c r="B159" t="s">
        <v>287</v>
      </c>
    </row>
    <row r="160" spans="1:2" x14ac:dyDescent="0.3">
      <c r="A160" t="s">
        <v>288</v>
      </c>
      <c r="B160" t="s">
        <v>289</v>
      </c>
    </row>
    <row r="161" spans="1:2" x14ac:dyDescent="0.3">
      <c r="A161" t="s">
        <v>290</v>
      </c>
      <c r="B161" t="s">
        <v>287</v>
      </c>
    </row>
    <row r="162" spans="1:2" x14ac:dyDescent="0.3">
      <c r="A162" t="s">
        <v>291</v>
      </c>
      <c r="B162" t="s">
        <v>289</v>
      </c>
    </row>
    <row r="164" spans="1:2" x14ac:dyDescent="0.3">
      <c r="A164" t="s">
        <v>292</v>
      </c>
      <c r="B164" t="s">
        <v>293</v>
      </c>
    </row>
    <row r="165" spans="1:2" x14ac:dyDescent="0.3">
      <c r="A165" t="s">
        <v>294</v>
      </c>
      <c r="B165" t="s">
        <v>295</v>
      </c>
    </row>
    <row r="166" spans="1:2" x14ac:dyDescent="0.3">
      <c r="A166" t="s">
        <v>296</v>
      </c>
      <c r="B166" t="s">
        <v>297</v>
      </c>
    </row>
    <row r="167" spans="1:2" x14ac:dyDescent="0.3">
      <c r="A167" t="s">
        <v>298</v>
      </c>
      <c r="B167" t="s">
        <v>299</v>
      </c>
    </row>
    <row r="168" spans="1:2" x14ac:dyDescent="0.3">
      <c r="A168" t="s">
        <v>300</v>
      </c>
      <c r="B168" t="s">
        <v>301</v>
      </c>
    </row>
    <row r="169" spans="1:2" x14ac:dyDescent="0.3">
      <c r="A169" t="s">
        <v>302</v>
      </c>
      <c r="B169" t="s">
        <v>303</v>
      </c>
    </row>
    <row r="170" spans="1:2" x14ac:dyDescent="0.3">
      <c r="A170" t="s">
        <v>304</v>
      </c>
      <c r="B170" t="s">
        <v>305</v>
      </c>
    </row>
    <row r="171" spans="1:2" x14ac:dyDescent="0.3">
      <c r="A171" t="s">
        <v>306</v>
      </c>
      <c r="B171" t="s">
        <v>307</v>
      </c>
    </row>
    <row r="172" spans="1:2" x14ac:dyDescent="0.3">
      <c r="A172" t="s">
        <v>308</v>
      </c>
      <c r="B172" t="s">
        <v>307</v>
      </c>
    </row>
    <row r="173" spans="1:2" x14ac:dyDescent="0.3">
      <c r="A173" t="s">
        <v>309</v>
      </c>
      <c r="B173" t="s">
        <v>310</v>
      </c>
    </row>
    <row r="174" spans="1:2" x14ac:dyDescent="0.3">
      <c r="A174" t="s">
        <v>311</v>
      </c>
      <c r="B174" t="s">
        <v>312</v>
      </c>
    </row>
    <row r="175" spans="1:2" x14ac:dyDescent="0.3">
      <c r="A175" t="s">
        <v>313</v>
      </c>
      <c r="B175" t="s">
        <v>314</v>
      </c>
    </row>
    <row r="176" spans="1:2" x14ac:dyDescent="0.3">
      <c r="A176" t="s">
        <v>315</v>
      </c>
      <c r="B176" t="s">
        <v>316</v>
      </c>
    </row>
    <row r="177" spans="1:2" x14ac:dyDescent="0.3">
      <c r="A177" t="s">
        <v>317</v>
      </c>
      <c r="B177" t="s">
        <v>318</v>
      </c>
    </row>
    <row r="178" spans="1:2" x14ac:dyDescent="0.3">
      <c r="A178" t="s">
        <v>319</v>
      </c>
      <c r="B178" t="s">
        <v>320</v>
      </c>
    </row>
    <row r="179" spans="1:2" x14ac:dyDescent="0.3">
      <c r="A179" t="s">
        <v>321</v>
      </c>
      <c r="B179" t="s">
        <v>322</v>
      </c>
    </row>
    <row r="180" spans="1:2" x14ac:dyDescent="0.3">
      <c r="A180" t="s">
        <v>323</v>
      </c>
      <c r="B180" t="s">
        <v>324</v>
      </c>
    </row>
    <row r="181" spans="1:2" x14ac:dyDescent="0.3">
      <c r="A181" t="s">
        <v>325</v>
      </c>
      <c r="B181" t="s">
        <v>326</v>
      </c>
    </row>
    <row r="182" spans="1:2" x14ac:dyDescent="0.3">
      <c r="A182" t="s">
        <v>327</v>
      </c>
      <c r="B182" t="s">
        <v>328</v>
      </c>
    </row>
    <row r="183" spans="1:2" x14ac:dyDescent="0.3">
      <c r="A183" t="s">
        <v>329</v>
      </c>
      <c r="B183" t="s">
        <v>330</v>
      </c>
    </row>
    <row r="184" spans="1:2" x14ac:dyDescent="0.3">
      <c r="A184" t="s">
        <v>331</v>
      </c>
      <c r="B184" t="s">
        <v>332</v>
      </c>
    </row>
    <row r="185" spans="1:2" x14ac:dyDescent="0.3">
      <c r="A185" t="s">
        <v>333</v>
      </c>
      <c r="B185" t="s">
        <v>334</v>
      </c>
    </row>
    <row r="186" spans="1:2" x14ac:dyDescent="0.3">
      <c r="A186" t="s">
        <v>335</v>
      </c>
      <c r="B186" t="s">
        <v>336</v>
      </c>
    </row>
    <row r="187" spans="1:2" x14ac:dyDescent="0.3">
      <c r="A187" t="s">
        <v>337</v>
      </c>
      <c r="B187" t="s">
        <v>338</v>
      </c>
    </row>
    <row r="188" spans="1:2" x14ac:dyDescent="0.3">
      <c r="A188" t="s">
        <v>339</v>
      </c>
      <c r="B188" t="s">
        <v>340</v>
      </c>
    </row>
    <row r="190" spans="1:2" x14ac:dyDescent="0.3">
      <c r="A190" t="s">
        <v>341</v>
      </c>
      <c r="B190" t="s">
        <v>342</v>
      </c>
    </row>
    <row r="191" spans="1:2" x14ac:dyDescent="0.3">
      <c r="A191" t="s">
        <v>343</v>
      </c>
      <c r="B191" t="s">
        <v>344</v>
      </c>
    </row>
    <row r="192" spans="1:2" x14ac:dyDescent="0.3">
      <c r="A192" t="s">
        <v>345</v>
      </c>
      <c r="B192" t="s">
        <v>346</v>
      </c>
    </row>
    <row r="193" spans="1:2" x14ac:dyDescent="0.3">
      <c r="A193" t="s">
        <v>347</v>
      </c>
      <c r="B193" t="s">
        <v>348</v>
      </c>
    </row>
    <row r="195" spans="1:2" x14ac:dyDescent="0.3">
      <c r="A195" t="s">
        <v>349</v>
      </c>
      <c r="B195" t="s">
        <v>350</v>
      </c>
    </row>
    <row r="199" spans="1:2" x14ac:dyDescent="0.3">
      <c r="A199" t="s">
        <v>351</v>
      </c>
      <c r="B199" t="s">
        <v>352</v>
      </c>
    </row>
    <row r="202" spans="1:2" x14ac:dyDescent="0.3">
      <c r="A202" t="s">
        <v>353</v>
      </c>
      <c r="B202" t="s">
        <v>354</v>
      </c>
    </row>
    <row r="204" spans="1:2" x14ac:dyDescent="0.3">
      <c r="A204" t="s">
        <v>355</v>
      </c>
      <c r="B204" t="s">
        <v>356</v>
      </c>
    </row>
    <row r="205" spans="1:2" x14ac:dyDescent="0.3">
      <c r="A205" t="s">
        <v>357</v>
      </c>
      <c r="B205" t="s">
        <v>2588</v>
      </c>
    </row>
    <row r="207" spans="1:2" x14ac:dyDescent="0.3">
      <c r="A207" t="s">
        <v>361</v>
      </c>
      <c r="B207" t="s">
        <v>362</v>
      </c>
    </row>
    <row r="208" spans="1:2" x14ac:dyDescent="0.3">
      <c r="A208" t="s">
        <v>363</v>
      </c>
      <c r="B208" t="s">
        <v>364</v>
      </c>
    </row>
    <row r="209" spans="1:2" x14ac:dyDescent="0.3">
      <c r="A209" t="s">
        <v>365</v>
      </c>
      <c r="B209" t="s">
        <v>366</v>
      </c>
    </row>
    <row r="210" spans="1:2" x14ac:dyDescent="0.3">
      <c r="A210" t="s">
        <v>367</v>
      </c>
      <c r="B210" t="s">
        <v>368</v>
      </c>
    </row>
    <row r="211" spans="1:2" x14ac:dyDescent="0.3">
      <c r="A211" t="s">
        <v>369</v>
      </c>
      <c r="B211" t="s">
        <v>370</v>
      </c>
    </row>
    <row r="213" spans="1:2" x14ac:dyDescent="0.3">
      <c r="A213" t="s">
        <v>371</v>
      </c>
      <c r="B213" t="s">
        <v>372</v>
      </c>
    </row>
    <row r="215" spans="1:2" x14ac:dyDescent="0.3">
      <c r="A215" t="s">
        <v>373</v>
      </c>
      <c r="B215" t="s">
        <v>374</v>
      </c>
    </row>
    <row r="216" spans="1:2" x14ac:dyDescent="0.3">
      <c r="A216" t="s">
        <v>375</v>
      </c>
      <c r="B216" t="s">
        <v>376</v>
      </c>
    </row>
    <row r="218" spans="1:2" x14ac:dyDescent="0.3">
      <c r="A218" t="s">
        <v>0</v>
      </c>
    </row>
    <row r="220" spans="1:2" x14ac:dyDescent="0.3">
      <c r="A220" t="s">
        <v>377</v>
      </c>
      <c r="B220" t="s">
        <v>378</v>
      </c>
    </row>
    <row r="221" spans="1:2" x14ac:dyDescent="0.3">
      <c r="A221" t="s">
        <v>379</v>
      </c>
      <c r="B221" t="s">
        <v>380</v>
      </c>
    </row>
    <row r="222" spans="1:2" x14ac:dyDescent="0.3">
      <c r="A222" t="s">
        <v>381</v>
      </c>
      <c r="B222" t="s">
        <v>382</v>
      </c>
    </row>
    <row r="224" spans="1:2" x14ac:dyDescent="0.3">
      <c r="A224" t="s">
        <v>383</v>
      </c>
      <c r="B224" t="s">
        <v>384</v>
      </c>
    </row>
    <row r="225" spans="1:2" x14ac:dyDescent="0.3">
      <c r="A225" t="s">
        <v>385</v>
      </c>
      <c r="B225" t="s">
        <v>386</v>
      </c>
    </row>
    <row r="226" spans="1:2" x14ac:dyDescent="0.3">
      <c r="A226" t="s">
        <v>387</v>
      </c>
      <c r="B226" t="s">
        <v>388</v>
      </c>
    </row>
    <row r="227" spans="1:2" x14ac:dyDescent="0.3">
      <c r="A227" t="s">
        <v>389</v>
      </c>
      <c r="B227" t="s">
        <v>390</v>
      </c>
    </row>
    <row r="228" spans="1:2" x14ac:dyDescent="0.3">
      <c r="A228" t="s">
        <v>391</v>
      </c>
      <c r="B228" t="s">
        <v>392</v>
      </c>
    </row>
    <row r="229" spans="1:2" x14ac:dyDescent="0.3">
      <c r="A229" t="s">
        <v>393</v>
      </c>
      <c r="B229" t="s">
        <v>394</v>
      </c>
    </row>
    <row r="230" spans="1:2" x14ac:dyDescent="0.3">
      <c r="A230" t="s">
        <v>395</v>
      </c>
      <c r="B230" t="s">
        <v>396</v>
      </c>
    </row>
    <row r="231" spans="1:2" x14ac:dyDescent="0.3">
      <c r="A231" t="s">
        <v>397</v>
      </c>
      <c r="B231" t="s">
        <v>398</v>
      </c>
    </row>
    <row r="232" spans="1:2" x14ac:dyDescent="0.3">
      <c r="A232" t="s">
        <v>399</v>
      </c>
      <c r="B232" t="s">
        <v>400</v>
      </c>
    </row>
    <row r="233" spans="1:2" x14ac:dyDescent="0.3">
      <c r="A233" t="s">
        <v>401</v>
      </c>
      <c r="B233" t="s">
        <v>402</v>
      </c>
    </row>
    <row r="234" spans="1:2" x14ac:dyDescent="0.3">
      <c r="A234" t="s">
        <v>403</v>
      </c>
      <c r="B234" t="s">
        <v>404</v>
      </c>
    </row>
    <row r="235" spans="1:2" x14ac:dyDescent="0.3">
      <c r="A235" t="s">
        <v>405</v>
      </c>
      <c r="B235" t="s">
        <v>406</v>
      </c>
    </row>
    <row r="236" spans="1:2" x14ac:dyDescent="0.3">
      <c r="A236" t="s">
        <v>407</v>
      </c>
      <c r="B236" t="s">
        <v>408</v>
      </c>
    </row>
    <row r="237" spans="1:2" x14ac:dyDescent="0.3">
      <c r="A237" t="s">
        <v>409</v>
      </c>
      <c r="B237" t="s">
        <v>410</v>
      </c>
    </row>
    <row r="238" spans="1:2" x14ac:dyDescent="0.3">
      <c r="A238" t="s">
        <v>411</v>
      </c>
      <c r="B238" t="s">
        <v>412</v>
      </c>
    </row>
    <row r="239" spans="1:2" x14ac:dyDescent="0.3">
      <c r="A239" t="s">
        <v>413</v>
      </c>
      <c r="B239" t="s">
        <v>414</v>
      </c>
    </row>
    <row r="240" spans="1:2" x14ac:dyDescent="0.3">
      <c r="A240" t="s">
        <v>415</v>
      </c>
      <c r="B240" t="s">
        <v>416</v>
      </c>
    </row>
    <row r="241" spans="1:2" x14ac:dyDescent="0.3">
      <c r="A241" t="s">
        <v>417</v>
      </c>
      <c r="B241" t="s">
        <v>418</v>
      </c>
    </row>
    <row r="242" spans="1:2" x14ac:dyDescent="0.3">
      <c r="A242" t="s">
        <v>419</v>
      </c>
      <c r="B242" t="s">
        <v>420</v>
      </c>
    </row>
    <row r="243" spans="1:2" x14ac:dyDescent="0.3">
      <c r="A243" t="s">
        <v>421</v>
      </c>
      <c r="B243" t="s">
        <v>422</v>
      </c>
    </row>
    <row r="244" spans="1:2" x14ac:dyDescent="0.3">
      <c r="A244" t="s">
        <v>423</v>
      </c>
      <c r="B244" t="s">
        <v>424</v>
      </c>
    </row>
    <row r="245" spans="1:2" x14ac:dyDescent="0.3">
      <c r="A245" t="s">
        <v>425</v>
      </c>
      <c r="B245" t="s">
        <v>426</v>
      </c>
    </row>
    <row r="246" spans="1:2" x14ac:dyDescent="0.3">
      <c r="A246" t="s">
        <v>427</v>
      </c>
      <c r="B246" t="s">
        <v>428</v>
      </c>
    </row>
    <row r="247" spans="1:2" x14ac:dyDescent="0.3">
      <c r="A247" t="s">
        <v>429</v>
      </c>
      <c r="B247" t="s">
        <v>430</v>
      </c>
    </row>
    <row r="248" spans="1:2" x14ac:dyDescent="0.3">
      <c r="A248" t="s">
        <v>431</v>
      </c>
      <c r="B248" t="s">
        <v>432</v>
      </c>
    </row>
    <row r="249" spans="1:2" x14ac:dyDescent="0.3">
      <c r="A249" t="s">
        <v>433</v>
      </c>
      <c r="B249" t="s">
        <v>434</v>
      </c>
    </row>
    <row r="250" spans="1:2" x14ac:dyDescent="0.3">
      <c r="A250" t="s">
        <v>435</v>
      </c>
      <c r="B250" t="s">
        <v>436</v>
      </c>
    </row>
    <row r="251" spans="1:2" x14ac:dyDescent="0.3">
      <c r="A251" t="s">
        <v>437</v>
      </c>
      <c r="B251" t="s">
        <v>438</v>
      </c>
    </row>
    <row r="252" spans="1:2" x14ac:dyDescent="0.3">
      <c r="A252" t="s">
        <v>439</v>
      </c>
      <c r="B252" t="s">
        <v>440</v>
      </c>
    </row>
    <row r="253" spans="1:2" x14ac:dyDescent="0.3">
      <c r="A253" t="s">
        <v>441</v>
      </c>
      <c r="B253" t="s">
        <v>442</v>
      </c>
    </row>
    <row r="254" spans="1:2" x14ac:dyDescent="0.3">
      <c r="A254" t="s">
        <v>443</v>
      </c>
      <c r="B254" t="s">
        <v>444</v>
      </c>
    </row>
    <row r="255" spans="1:2" x14ac:dyDescent="0.3">
      <c r="A255" t="s">
        <v>445</v>
      </c>
      <c r="B255" t="s">
        <v>446</v>
      </c>
    </row>
    <row r="256" spans="1:2" x14ac:dyDescent="0.3">
      <c r="A256" t="s">
        <v>447</v>
      </c>
      <c r="B256" t="s">
        <v>448</v>
      </c>
    </row>
    <row r="257" spans="1:2" x14ac:dyDescent="0.3">
      <c r="A257" t="s">
        <v>449</v>
      </c>
      <c r="B257" t="s">
        <v>450</v>
      </c>
    </row>
    <row r="258" spans="1:2" x14ac:dyDescent="0.3">
      <c r="A258" t="s">
        <v>451</v>
      </c>
      <c r="B258" t="s">
        <v>452</v>
      </c>
    </row>
    <row r="260" spans="1:2" x14ac:dyDescent="0.3">
      <c r="A260" t="s">
        <v>453</v>
      </c>
      <c r="B260" t="s">
        <v>454</v>
      </c>
    </row>
    <row r="261" spans="1:2" x14ac:dyDescent="0.3">
      <c r="A261" t="s">
        <v>455</v>
      </c>
      <c r="B261" t="s">
        <v>456</v>
      </c>
    </row>
    <row r="263" spans="1:2" x14ac:dyDescent="0.3">
      <c r="A263" t="s">
        <v>459</v>
      </c>
      <c r="B263" t="s">
        <v>460</v>
      </c>
    </row>
    <row r="264" spans="1:2" x14ac:dyDescent="0.3">
      <c r="A264" t="s">
        <v>461</v>
      </c>
      <c r="B264" t="s">
        <v>462</v>
      </c>
    </row>
    <row r="265" spans="1:2" x14ac:dyDescent="0.3">
      <c r="A265" t="s">
        <v>463</v>
      </c>
      <c r="B265" t="s">
        <v>464</v>
      </c>
    </row>
    <row r="266" spans="1:2" x14ac:dyDescent="0.3">
      <c r="A266" t="s">
        <v>465</v>
      </c>
      <c r="B266" t="s">
        <v>466</v>
      </c>
    </row>
    <row r="268" spans="1:2" x14ac:dyDescent="0.3">
      <c r="A268" t="s">
        <v>467</v>
      </c>
      <c r="B268" t="s">
        <v>468</v>
      </c>
    </row>
    <row r="270" spans="1:2" x14ac:dyDescent="0.3">
      <c r="A270" t="s">
        <v>469</v>
      </c>
      <c r="B270" t="s">
        <v>470</v>
      </c>
    </row>
    <row r="271" spans="1:2" x14ac:dyDescent="0.3">
      <c r="A271" t="s">
        <v>471</v>
      </c>
      <c r="B271" t="s">
        <v>472</v>
      </c>
    </row>
    <row r="272" spans="1:2" x14ac:dyDescent="0.3">
      <c r="A272" t="s">
        <v>473</v>
      </c>
      <c r="B272" t="s">
        <v>474</v>
      </c>
    </row>
    <row r="274" spans="1:2" x14ac:dyDescent="0.3">
      <c r="A274" t="s">
        <v>475</v>
      </c>
      <c r="B274" t="s">
        <v>476</v>
      </c>
    </row>
    <row r="275" spans="1:2" x14ac:dyDescent="0.3">
      <c r="A275" t="s">
        <v>477</v>
      </c>
      <c r="B275" t="s">
        <v>2589</v>
      </c>
    </row>
    <row r="276" spans="1:2" x14ac:dyDescent="0.3">
      <c r="A276" t="s">
        <v>479</v>
      </c>
      <c r="B276" t="s">
        <v>2590</v>
      </c>
    </row>
    <row r="277" spans="1:2" x14ac:dyDescent="0.3">
      <c r="A277" t="s">
        <v>481</v>
      </c>
      <c r="B277" t="s">
        <v>482</v>
      </c>
    </row>
    <row r="279" spans="1:2" x14ac:dyDescent="0.3">
      <c r="A279" t="s">
        <v>483</v>
      </c>
      <c r="B279" t="s">
        <v>484</v>
      </c>
    </row>
    <row r="280" spans="1:2" x14ac:dyDescent="0.3">
      <c r="A280" t="s">
        <v>485</v>
      </c>
      <c r="B280" t="s">
        <v>486</v>
      </c>
    </row>
    <row r="281" spans="1:2" x14ac:dyDescent="0.3">
      <c r="A281" t="s">
        <v>487</v>
      </c>
      <c r="B281" t="s">
        <v>488</v>
      </c>
    </row>
    <row r="282" spans="1:2" x14ac:dyDescent="0.3">
      <c r="A282" t="s">
        <v>489</v>
      </c>
      <c r="B282" t="s">
        <v>482</v>
      </c>
    </row>
    <row r="284" spans="1:2" x14ac:dyDescent="0.3">
      <c r="A284" t="s">
        <v>490</v>
      </c>
      <c r="B284" t="s">
        <v>491</v>
      </c>
    </row>
    <row r="285" spans="1:2" x14ac:dyDescent="0.3">
      <c r="A285" t="s">
        <v>492</v>
      </c>
      <c r="B285" t="s">
        <v>493</v>
      </c>
    </row>
    <row r="286" spans="1:2" x14ac:dyDescent="0.3">
      <c r="A286" t="s">
        <v>494</v>
      </c>
      <c r="B286" t="s">
        <v>495</v>
      </c>
    </row>
    <row r="287" spans="1:2" x14ac:dyDescent="0.3">
      <c r="A287" t="s">
        <v>496</v>
      </c>
      <c r="B287" t="s">
        <v>497</v>
      </c>
    </row>
    <row r="289" spans="1:2" x14ac:dyDescent="0.3">
      <c r="A289" t="s">
        <v>498</v>
      </c>
      <c r="B289" t="s">
        <v>499</v>
      </c>
    </row>
    <row r="290" spans="1:2" x14ac:dyDescent="0.3">
      <c r="A290" t="s">
        <v>500</v>
      </c>
      <c r="B290" t="s">
        <v>501</v>
      </c>
    </row>
    <row r="291" spans="1:2" x14ac:dyDescent="0.3">
      <c r="A291" t="s">
        <v>502</v>
      </c>
      <c r="B291" t="s">
        <v>503</v>
      </c>
    </row>
    <row r="292" spans="1:2" x14ac:dyDescent="0.3">
      <c r="A292" t="s">
        <v>504</v>
      </c>
      <c r="B292" t="s">
        <v>505</v>
      </c>
    </row>
    <row r="293" spans="1:2" x14ac:dyDescent="0.3">
      <c r="A293" t="s">
        <v>506</v>
      </c>
      <c r="B293" t="s">
        <v>507</v>
      </c>
    </row>
    <row r="294" spans="1:2" x14ac:dyDescent="0.3">
      <c r="A294" t="s">
        <v>508</v>
      </c>
      <c r="B294" t="s">
        <v>509</v>
      </c>
    </row>
    <row r="296" spans="1:2" x14ac:dyDescent="0.3">
      <c r="A296" t="s">
        <v>510</v>
      </c>
      <c r="B296" t="s">
        <v>511</v>
      </c>
    </row>
    <row r="298" spans="1:2" x14ac:dyDescent="0.3">
      <c r="A298" t="s">
        <v>512</v>
      </c>
      <c r="B298" t="s">
        <v>513</v>
      </c>
    </row>
    <row r="299" spans="1:2" x14ac:dyDescent="0.3">
      <c r="A299" t="s">
        <v>514</v>
      </c>
      <c r="B299" t="s">
        <v>515</v>
      </c>
    </row>
    <row r="300" spans="1:2" x14ac:dyDescent="0.3">
      <c r="A300" t="s">
        <v>516</v>
      </c>
      <c r="B300" t="s">
        <v>517</v>
      </c>
    </row>
    <row r="301" spans="1:2" x14ac:dyDescent="0.3">
      <c r="A301" t="s">
        <v>518</v>
      </c>
      <c r="B301" t="s">
        <v>519</v>
      </c>
    </row>
    <row r="303" spans="1:2" x14ac:dyDescent="0.3">
      <c r="A303" t="s">
        <v>520</v>
      </c>
      <c r="B303" t="s">
        <v>521</v>
      </c>
    </row>
    <row r="305" spans="1:2" x14ac:dyDescent="0.3">
      <c r="A305" t="s">
        <v>522</v>
      </c>
      <c r="B305" t="s">
        <v>523</v>
      </c>
    </row>
    <row r="306" spans="1:2" x14ac:dyDescent="0.3">
      <c r="A306" t="s">
        <v>524</v>
      </c>
      <c r="B306" t="s">
        <v>525</v>
      </c>
    </row>
    <row r="307" spans="1:2" x14ac:dyDescent="0.3">
      <c r="A307" t="s">
        <v>526</v>
      </c>
      <c r="B307" t="s">
        <v>527</v>
      </c>
    </row>
    <row r="308" spans="1:2" x14ac:dyDescent="0.3">
      <c r="A308" t="s">
        <v>528</v>
      </c>
      <c r="B308" t="s">
        <v>529</v>
      </c>
    </row>
    <row r="309" spans="1:2" x14ac:dyDescent="0.3">
      <c r="A309" t="s">
        <v>530</v>
      </c>
      <c r="B309" t="s">
        <v>531</v>
      </c>
    </row>
    <row r="310" spans="1:2" x14ac:dyDescent="0.3">
      <c r="A310" t="s">
        <v>532</v>
      </c>
      <c r="B310" t="s">
        <v>458</v>
      </c>
    </row>
    <row r="311" spans="1:2" x14ac:dyDescent="0.3">
      <c r="A311" t="s">
        <v>533</v>
      </c>
      <c r="B311" t="s">
        <v>534</v>
      </c>
    </row>
    <row r="312" spans="1:2" x14ac:dyDescent="0.3">
      <c r="A312" t="s">
        <v>535</v>
      </c>
      <c r="B312" t="s">
        <v>536</v>
      </c>
    </row>
    <row r="314" spans="1:2" x14ac:dyDescent="0.3">
      <c r="A314" t="s">
        <v>537</v>
      </c>
      <c r="B314" t="s">
        <v>538</v>
      </c>
    </row>
    <row r="315" spans="1:2" x14ac:dyDescent="0.3">
      <c r="A315" t="s">
        <v>539</v>
      </c>
      <c r="B315" t="s">
        <v>540</v>
      </c>
    </row>
    <row r="316" spans="1:2" x14ac:dyDescent="0.3">
      <c r="A316" t="s">
        <v>541</v>
      </c>
      <c r="B316" t="s">
        <v>598</v>
      </c>
    </row>
    <row r="317" spans="1:2" x14ac:dyDescent="0.3">
      <c r="A317" t="s">
        <v>543</v>
      </c>
      <c r="B317" t="s">
        <v>598</v>
      </c>
    </row>
    <row r="318" spans="1:2" x14ac:dyDescent="0.3">
      <c r="A318" t="s">
        <v>545</v>
      </c>
      <c r="B318" t="s">
        <v>546</v>
      </c>
    </row>
    <row r="319" spans="1:2" x14ac:dyDescent="0.3">
      <c r="A319" t="s">
        <v>547</v>
      </c>
      <c r="B319" t="s">
        <v>548</v>
      </c>
    </row>
    <row r="320" spans="1:2" x14ac:dyDescent="0.3">
      <c r="A320" t="s">
        <v>549</v>
      </c>
      <c r="B320" t="s">
        <v>550</v>
      </c>
    </row>
    <row r="321" spans="1:2" x14ac:dyDescent="0.3">
      <c r="A321" t="s">
        <v>551</v>
      </c>
      <c r="B321" t="s">
        <v>552</v>
      </c>
    </row>
    <row r="322" spans="1:2" x14ac:dyDescent="0.3">
      <c r="A322" t="s">
        <v>553</v>
      </c>
      <c r="B322" t="s">
        <v>554</v>
      </c>
    </row>
    <row r="323" spans="1:2" x14ac:dyDescent="0.3">
      <c r="A323" t="s">
        <v>555</v>
      </c>
      <c r="B323" t="s">
        <v>556</v>
      </c>
    </row>
    <row r="324" spans="1:2" x14ac:dyDescent="0.3">
      <c r="A324" t="s">
        <v>557</v>
      </c>
      <c r="B324" t="s">
        <v>2591</v>
      </c>
    </row>
    <row r="325" spans="1:2" x14ac:dyDescent="0.3">
      <c r="A325" t="s">
        <v>558</v>
      </c>
      <c r="B325" t="s">
        <v>2592</v>
      </c>
    </row>
    <row r="326" spans="1:2" x14ac:dyDescent="0.3">
      <c r="A326" t="s">
        <v>559</v>
      </c>
      <c r="B326" t="s">
        <v>560</v>
      </c>
    </row>
    <row r="327" spans="1:2" x14ac:dyDescent="0.3">
      <c r="A327" t="s">
        <v>561</v>
      </c>
      <c r="B327" t="s">
        <v>2593</v>
      </c>
    </row>
    <row r="328" spans="1:2" x14ac:dyDescent="0.3">
      <c r="A328" t="s">
        <v>563</v>
      </c>
      <c r="B328" t="s">
        <v>564</v>
      </c>
    </row>
    <row r="330" spans="1:2" x14ac:dyDescent="0.3">
      <c r="A330" t="s">
        <v>565</v>
      </c>
      <c r="B330" t="s">
        <v>566</v>
      </c>
    </row>
    <row r="331" spans="1:2" x14ac:dyDescent="0.3">
      <c r="A331" t="s">
        <v>567</v>
      </c>
      <c r="B331" t="s">
        <v>568</v>
      </c>
    </row>
    <row r="332" spans="1:2" x14ac:dyDescent="0.3">
      <c r="A332" t="s">
        <v>569</v>
      </c>
      <c r="B332" t="s">
        <v>570</v>
      </c>
    </row>
    <row r="334" spans="1:2" x14ac:dyDescent="0.3">
      <c r="A334" t="s">
        <v>571</v>
      </c>
      <c r="B334" t="s">
        <v>572</v>
      </c>
    </row>
    <row r="335" spans="1:2" x14ac:dyDescent="0.3">
      <c r="A335" t="s">
        <v>573</v>
      </c>
      <c r="B335" t="s">
        <v>574</v>
      </c>
    </row>
    <row r="337" spans="1:2" x14ac:dyDescent="0.3">
      <c r="A337" t="s">
        <v>575</v>
      </c>
      <c r="B337" t="s">
        <v>576</v>
      </c>
    </row>
    <row r="339" spans="1:2" x14ac:dyDescent="0.3">
      <c r="A339" t="s">
        <v>577</v>
      </c>
      <c r="B339" t="s">
        <v>578</v>
      </c>
    </row>
    <row r="341" spans="1:2" x14ac:dyDescent="0.3">
      <c r="A341" t="s">
        <v>579</v>
      </c>
      <c r="B341" t="s">
        <v>580</v>
      </c>
    </row>
    <row r="342" spans="1:2" x14ac:dyDescent="0.3">
      <c r="A342" t="s">
        <v>581</v>
      </c>
      <c r="B342" t="s">
        <v>582</v>
      </c>
    </row>
    <row r="343" spans="1:2" x14ac:dyDescent="0.3">
      <c r="A343" t="s">
        <v>583</v>
      </c>
      <c r="B343" t="s">
        <v>584</v>
      </c>
    </row>
    <row r="344" spans="1:2" x14ac:dyDescent="0.3">
      <c r="A344" t="s">
        <v>585</v>
      </c>
      <c r="B344" t="s">
        <v>586</v>
      </c>
    </row>
    <row r="345" spans="1:2" x14ac:dyDescent="0.3">
      <c r="A345" t="s">
        <v>587</v>
      </c>
      <c r="B345" t="s">
        <v>588</v>
      </c>
    </row>
    <row r="346" spans="1:2" x14ac:dyDescent="0.3">
      <c r="A346" t="s">
        <v>589</v>
      </c>
      <c r="B346" t="s">
        <v>590</v>
      </c>
    </row>
    <row r="347" spans="1:2" x14ac:dyDescent="0.3">
      <c r="A347" t="s">
        <v>591</v>
      </c>
      <c r="B347" t="s">
        <v>592</v>
      </c>
    </row>
    <row r="348" spans="1:2" x14ac:dyDescent="0.3">
      <c r="A348" t="s">
        <v>593</v>
      </c>
      <c r="B348" t="s">
        <v>594</v>
      </c>
    </row>
    <row r="349" spans="1:2" x14ac:dyDescent="0.3">
      <c r="A349" t="s">
        <v>595</v>
      </c>
      <c r="B349" t="s">
        <v>596</v>
      </c>
    </row>
    <row r="351" spans="1:2" x14ac:dyDescent="0.3">
      <c r="A351" t="s">
        <v>597</v>
      </c>
      <c r="B351" t="s">
        <v>598</v>
      </c>
    </row>
    <row r="352" spans="1:2" x14ac:dyDescent="0.3">
      <c r="A352" t="s">
        <v>599</v>
      </c>
      <c r="B352" t="s">
        <v>552</v>
      </c>
    </row>
    <row r="353" spans="1:2" x14ac:dyDescent="0.3">
      <c r="A353" t="s">
        <v>600</v>
      </c>
      <c r="B353" t="s">
        <v>601</v>
      </c>
    </row>
    <row r="354" spans="1:2" x14ac:dyDescent="0.3">
      <c r="A354" t="s">
        <v>602</v>
      </c>
      <c r="B354" t="s">
        <v>603</v>
      </c>
    </row>
    <row r="355" spans="1:2" x14ac:dyDescent="0.3">
      <c r="A355" t="s">
        <v>604</v>
      </c>
      <c r="B355" t="s">
        <v>605</v>
      </c>
    </row>
    <row r="356" spans="1:2" x14ac:dyDescent="0.3">
      <c r="A356" t="s">
        <v>606</v>
      </c>
      <c r="B356" t="s">
        <v>607</v>
      </c>
    </row>
    <row r="357" spans="1:2" x14ac:dyDescent="0.3">
      <c r="A357" t="s">
        <v>608</v>
      </c>
      <c r="B357" t="s">
        <v>609</v>
      </c>
    </row>
    <row r="358" spans="1:2" x14ac:dyDescent="0.3">
      <c r="A358" t="s">
        <v>610</v>
      </c>
      <c r="B358" t="s">
        <v>611</v>
      </c>
    </row>
    <row r="359" spans="1:2" x14ac:dyDescent="0.3">
      <c r="A359" t="s">
        <v>612</v>
      </c>
      <c r="B359" t="s">
        <v>2594</v>
      </c>
    </row>
    <row r="360" spans="1:2" x14ac:dyDescent="0.3">
      <c r="A360" t="s">
        <v>614</v>
      </c>
      <c r="B360" t="s">
        <v>615</v>
      </c>
    </row>
    <row r="362" spans="1:2" x14ac:dyDescent="0.3">
      <c r="A362" t="s">
        <v>616</v>
      </c>
      <c r="B362" t="s">
        <v>617</v>
      </c>
    </row>
    <row r="363" spans="1:2" x14ac:dyDescent="0.3">
      <c r="A363" t="s">
        <v>618</v>
      </c>
      <c r="B363" t="s">
        <v>619</v>
      </c>
    </row>
    <row r="364" spans="1:2" x14ac:dyDescent="0.3">
      <c r="A364" t="s">
        <v>620</v>
      </c>
      <c r="B364" t="s">
        <v>621</v>
      </c>
    </row>
    <row r="366" spans="1:2" x14ac:dyDescent="0.3">
      <c r="A366" t="s">
        <v>622</v>
      </c>
      <c r="B366" t="s">
        <v>623</v>
      </c>
    </row>
    <row r="367" spans="1:2" x14ac:dyDescent="0.3">
      <c r="A367" t="s">
        <v>624</v>
      </c>
      <c r="B367" t="s">
        <v>625</v>
      </c>
    </row>
    <row r="368" spans="1:2" x14ac:dyDescent="0.3">
      <c r="A368" t="s">
        <v>626</v>
      </c>
      <c r="B368" t="s">
        <v>627</v>
      </c>
    </row>
    <row r="370" spans="1:2" x14ac:dyDescent="0.3">
      <c r="A370" t="s">
        <v>628</v>
      </c>
      <c r="B370" t="s">
        <v>352</v>
      </c>
    </row>
    <row r="372" spans="1:2" x14ac:dyDescent="0.3">
      <c r="A372" t="s">
        <v>629</v>
      </c>
      <c r="B372" t="s">
        <v>630</v>
      </c>
    </row>
    <row r="373" spans="1:2" x14ac:dyDescent="0.3">
      <c r="A373" t="s">
        <v>631</v>
      </c>
      <c r="B373" t="s">
        <v>632</v>
      </c>
    </row>
    <row r="374" spans="1:2" x14ac:dyDescent="0.3">
      <c r="A374" t="s">
        <v>633</v>
      </c>
      <c r="B374" t="s">
        <v>634</v>
      </c>
    </row>
    <row r="375" spans="1:2" x14ac:dyDescent="0.3">
      <c r="A375" t="s">
        <v>635</v>
      </c>
      <c r="B375" t="s">
        <v>636</v>
      </c>
    </row>
    <row r="376" spans="1:2" x14ac:dyDescent="0.3">
      <c r="A376" t="s">
        <v>637</v>
      </c>
      <c r="B376" t="s">
        <v>638</v>
      </c>
    </row>
    <row r="377" spans="1:2" x14ac:dyDescent="0.3">
      <c r="A377" t="s">
        <v>639</v>
      </c>
      <c r="B377" t="s">
        <v>640</v>
      </c>
    </row>
    <row r="378" spans="1:2" x14ac:dyDescent="0.3">
      <c r="A378" t="s">
        <v>641</v>
      </c>
      <c r="B378" t="s">
        <v>642</v>
      </c>
    </row>
    <row r="379" spans="1:2" x14ac:dyDescent="0.3">
      <c r="A379" t="s">
        <v>643</v>
      </c>
      <c r="B379" t="s">
        <v>644</v>
      </c>
    </row>
    <row r="380" spans="1:2" x14ac:dyDescent="0.3">
      <c r="A380" t="s">
        <v>645</v>
      </c>
      <c r="B380" t="s">
        <v>646</v>
      </c>
    </row>
    <row r="382" spans="1:2" x14ac:dyDescent="0.3">
      <c r="A382" t="s">
        <v>647</v>
      </c>
      <c r="B382" t="s">
        <v>648</v>
      </c>
    </row>
    <row r="383" spans="1:2" x14ac:dyDescent="0.3">
      <c r="A383" t="s">
        <v>649</v>
      </c>
      <c r="B383" t="s">
        <v>650</v>
      </c>
    </row>
    <row r="384" spans="1:2" x14ac:dyDescent="0.3">
      <c r="A384" t="s">
        <v>651</v>
      </c>
      <c r="B384" t="s">
        <v>652</v>
      </c>
    </row>
    <row r="386" spans="1:2" x14ac:dyDescent="0.3">
      <c r="A386" t="s">
        <v>653</v>
      </c>
      <c r="B386" t="s">
        <v>654</v>
      </c>
    </row>
    <row r="387" spans="1:2" x14ac:dyDescent="0.3">
      <c r="A387" t="s">
        <v>655</v>
      </c>
      <c r="B387" t="s">
        <v>656</v>
      </c>
    </row>
    <row r="389" spans="1:2" x14ac:dyDescent="0.3">
      <c r="A389" t="s">
        <v>657</v>
      </c>
      <c r="B389" t="s">
        <v>658</v>
      </c>
    </row>
    <row r="390" spans="1:2" x14ac:dyDescent="0.3">
      <c r="A390" t="s">
        <v>659</v>
      </c>
      <c r="B390" t="s">
        <v>382</v>
      </c>
    </row>
    <row r="391" spans="1:2" x14ac:dyDescent="0.3">
      <c r="A391" t="s">
        <v>660</v>
      </c>
      <c r="B391" t="s">
        <v>661</v>
      </c>
    </row>
    <row r="393" spans="1:2" x14ac:dyDescent="0.3">
      <c r="A393" t="s">
        <v>662</v>
      </c>
      <c r="B393" t="s">
        <v>663</v>
      </c>
    </row>
    <row r="394" spans="1:2" x14ac:dyDescent="0.3">
      <c r="A394" t="s">
        <v>664</v>
      </c>
      <c r="B394" t="s">
        <v>665</v>
      </c>
    </row>
    <row r="395" spans="1:2" x14ac:dyDescent="0.3">
      <c r="A395" t="s">
        <v>666</v>
      </c>
      <c r="B395" t="s">
        <v>667</v>
      </c>
    </row>
    <row r="396" spans="1:2" x14ac:dyDescent="0.3">
      <c r="A396" t="s">
        <v>668</v>
      </c>
      <c r="B396" t="s">
        <v>669</v>
      </c>
    </row>
    <row r="397" spans="1:2" x14ac:dyDescent="0.3">
      <c r="A397" t="s">
        <v>670</v>
      </c>
      <c r="B397" t="s">
        <v>671</v>
      </c>
    </row>
    <row r="398" spans="1:2" x14ac:dyDescent="0.3">
      <c r="A398" t="s">
        <v>672</v>
      </c>
      <c r="B398" t="s">
        <v>673</v>
      </c>
    </row>
    <row r="399" spans="1:2" x14ac:dyDescent="0.3">
      <c r="A399" t="s">
        <v>674</v>
      </c>
      <c r="B399" t="s">
        <v>675</v>
      </c>
    </row>
    <row r="400" spans="1:2" x14ac:dyDescent="0.3">
      <c r="A400" t="s">
        <v>676</v>
      </c>
      <c r="B400" t="s">
        <v>677</v>
      </c>
    </row>
    <row r="401" spans="1:2" x14ac:dyDescent="0.3">
      <c r="A401" t="s">
        <v>678</v>
      </c>
      <c r="B401" t="s">
        <v>679</v>
      </c>
    </row>
    <row r="402" spans="1:2" x14ac:dyDescent="0.3">
      <c r="A402" t="s">
        <v>680</v>
      </c>
      <c r="B402" t="s">
        <v>681</v>
      </c>
    </row>
    <row r="403" spans="1:2" x14ac:dyDescent="0.3">
      <c r="A403" t="s">
        <v>682</v>
      </c>
      <c r="B403" t="s">
        <v>683</v>
      </c>
    </row>
    <row r="404" spans="1:2" x14ac:dyDescent="0.3">
      <c r="A404" t="s">
        <v>684</v>
      </c>
      <c r="B404" t="s">
        <v>685</v>
      </c>
    </row>
    <row r="406" spans="1:2" x14ac:dyDescent="0.3">
      <c r="A406" t="s">
        <v>686</v>
      </c>
      <c r="B406" t="s">
        <v>687</v>
      </c>
    </row>
    <row r="407" spans="1:2" x14ac:dyDescent="0.3">
      <c r="A407" t="s">
        <v>688</v>
      </c>
      <c r="B407" t="s">
        <v>689</v>
      </c>
    </row>
    <row r="408" spans="1:2" x14ac:dyDescent="0.3">
      <c r="A408" t="s">
        <v>690</v>
      </c>
      <c r="B408" t="s">
        <v>691</v>
      </c>
    </row>
    <row r="409" spans="1:2" x14ac:dyDescent="0.3">
      <c r="A409" t="s">
        <v>692</v>
      </c>
      <c r="B409" t="s">
        <v>693</v>
      </c>
    </row>
    <row r="410" spans="1:2" x14ac:dyDescent="0.3">
      <c r="A410" t="s">
        <v>694</v>
      </c>
      <c r="B410" t="s">
        <v>695</v>
      </c>
    </row>
    <row r="411" spans="1:2" x14ac:dyDescent="0.3">
      <c r="A411" t="s">
        <v>696</v>
      </c>
      <c r="B411" t="s">
        <v>671</v>
      </c>
    </row>
    <row r="412" spans="1:2" x14ac:dyDescent="0.3">
      <c r="A412" t="s">
        <v>697</v>
      </c>
      <c r="B412" t="s">
        <v>698</v>
      </c>
    </row>
    <row r="413" spans="1:2" x14ac:dyDescent="0.3">
      <c r="A413" t="s">
        <v>699</v>
      </c>
      <c r="B413" t="s">
        <v>700</v>
      </c>
    </row>
    <row r="414" spans="1:2" x14ac:dyDescent="0.3">
      <c r="A414" t="s">
        <v>701</v>
      </c>
      <c r="B414" t="s">
        <v>702</v>
      </c>
    </row>
    <row r="415" spans="1:2" x14ac:dyDescent="0.3">
      <c r="A415" t="s">
        <v>703</v>
      </c>
      <c r="B415" t="s">
        <v>704</v>
      </c>
    </row>
    <row r="416" spans="1:2" x14ac:dyDescent="0.3">
      <c r="A416" t="s">
        <v>705</v>
      </c>
      <c r="B416" t="s">
        <v>706</v>
      </c>
    </row>
    <row r="417" spans="1:2" x14ac:dyDescent="0.3">
      <c r="A417" t="s">
        <v>707</v>
      </c>
      <c r="B417" t="s">
        <v>708</v>
      </c>
    </row>
    <row r="419" spans="1:2" x14ac:dyDescent="0.3">
      <c r="A419" t="s">
        <v>709</v>
      </c>
      <c r="B419" t="s">
        <v>710</v>
      </c>
    </row>
    <row r="420" spans="1:2" x14ac:dyDescent="0.3">
      <c r="A420" t="s">
        <v>711</v>
      </c>
      <c r="B420" t="s">
        <v>712</v>
      </c>
    </row>
    <row r="421" spans="1:2" x14ac:dyDescent="0.3">
      <c r="A421" t="s">
        <v>713</v>
      </c>
      <c r="B421" t="s">
        <v>714</v>
      </c>
    </row>
    <row r="423" spans="1:2" x14ac:dyDescent="0.3">
      <c r="A423" t="s">
        <v>715</v>
      </c>
      <c r="B423" t="s">
        <v>716</v>
      </c>
    </row>
    <row r="424" spans="1:2" x14ac:dyDescent="0.3">
      <c r="A424" t="s">
        <v>717</v>
      </c>
      <c r="B424" t="s">
        <v>718</v>
      </c>
    </row>
    <row r="425" spans="1:2" x14ac:dyDescent="0.3">
      <c r="A425" t="s">
        <v>719</v>
      </c>
      <c r="B425" t="s">
        <v>720</v>
      </c>
    </row>
    <row r="426" spans="1:2" x14ac:dyDescent="0.3">
      <c r="A426" t="s">
        <v>721</v>
      </c>
      <c r="B426" t="s">
        <v>722</v>
      </c>
    </row>
    <row r="427" spans="1:2" x14ac:dyDescent="0.3">
      <c r="A427" t="s">
        <v>723</v>
      </c>
      <c r="B427" t="s">
        <v>724</v>
      </c>
    </row>
    <row r="429" spans="1:2" x14ac:dyDescent="0.3">
      <c r="A429" t="s">
        <v>725</v>
      </c>
      <c r="B429" t="s">
        <v>726</v>
      </c>
    </row>
    <row r="430" spans="1:2" x14ac:dyDescent="0.3">
      <c r="A430" t="s">
        <v>727</v>
      </c>
      <c r="B430" t="s">
        <v>728</v>
      </c>
    </row>
    <row r="431" spans="1:2" x14ac:dyDescent="0.3">
      <c r="A431" t="s">
        <v>729</v>
      </c>
      <c r="B431" t="s">
        <v>730</v>
      </c>
    </row>
    <row r="432" spans="1:2" x14ac:dyDescent="0.3">
      <c r="A432" t="s">
        <v>731</v>
      </c>
      <c r="B432" t="s">
        <v>732</v>
      </c>
    </row>
    <row r="434" spans="1:2" x14ac:dyDescent="0.3">
      <c r="A434" t="s">
        <v>733</v>
      </c>
      <c r="B434" t="s">
        <v>734</v>
      </c>
    </row>
    <row r="436" spans="1:2" x14ac:dyDescent="0.3">
      <c r="A436" t="s">
        <v>735</v>
      </c>
      <c r="B436" t="s">
        <v>736</v>
      </c>
    </row>
    <row r="437" spans="1:2" x14ac:dyDescent="0.3">
      <c r="A437" t="s">
        <v>737</v>
      </c>
      <c r="B437" t="s">
        <v>738</v>
      </c>
    </row>
    <row r="438" spans="1:2" x14ac:dyDescent="0.3">
      <c r="A438" t="s">
        <v>739</v>
      </c>
      <c r="B438" t="s">
        <v>740</v>
      </c>
    </row>
    <row r="439" spans="1:2" x14ac:dyDescent="0.3">
      <c r="A439" t="s">
        <v>741</v>
      </c>
      <c r="B439" t="s">
        <v>742</v>
      </c>
    </row>
    <row r="440" spans="1:2" x14ac:dyDescent="0.3">
      <c r="A440" t="s">
        <v>743</v>
      </c>
      <c r="B440" t="s">
        <v>744</v>
      </c>
    </row>
    <row r="441" spans="1:2" x14ac:dyDescent="0.3">
      <c r="A441" t="s">
        <v>745</v>
      </c>
      <c r="B441" t="s">
        <v>23</v>
      </c>
    </row>
    <row r="442" spans="1:2" x14ac:dyDescent="0.3">
      <c r="A442" t="s">
        <v>746</v>
      </c>
      <c r="B442" t="s">
        <v>257</v>
      </c>
    </row>
    <row r="443" spans="1:2" x14ac:dyDescent="0.3">
      <c r="A443" t="s">
        <v>747</v>
      </c>
      <c r="B443" t="s">
        <v>748</v>
      </c>
    </row>
    <row r="444" spans="1:2" x14ac:dyDescent="0.3">
      <c r="A444" t="s">
        <v>749</v>
      </c>
      <c r="B444" t="s">
        <v>750</v>
      </c>
    </row>
    <row r="446" spans="1:2" x14ac:dyDescent="0.3">
      <c r="A446" t="s">
        <v>751</v>
      </c>
      <c r="B446" t="s">
        <v>752</v>
      </c>
    </row>
    <row r="447" spans="1:2" x14ac:dyDescent="0.3">
      <c r="A447" t="s">
        <v>753</v>
      </c>
      <c r="B447" t="s">
        <v>754</v>
      </c>
    </row>
    <row r="448" spans="1:2" x14ac:dyDescent="0.3">
      <c r="A448" t="s">
        <v>755</v>
      </c>
      <c r="B448" t="s">
        <v>756</v>
      </c>
    </row>
    <row r="449" spans="1:2" x14ac:dyDescent="0.3">
      <c r="A449" t="s">
        <v>757</v>
      </c>
      <c r="B449" t="s">
        <v>758</v>
      </c>
    </row>
    <row r="450" spans="1:2" x14ac:dyDescent="0.3">
      <c r="A450" t="s">
        <v>759</v>
      </c>
      <c r="B450" t="s">
        <v>760</v>
      </c>
    </row>
    <row r="451" spans="1:2" x14ac:dyDescent="0.3">
      <c r="A451" t="s">
        <v>761</v>
      </c>
      <c r="B451" t="s">
        <v>762</v>
      </c>
    </row>
    <row r="452" spans="1:2" x14ac:dyDescent="0.3">
      <c r="A452" t="s">
        <v>763</v>
      </c>
      <c r="B452" t="s">
        <v>764</v>
      </c>
    </row>
    <row r="453" spans="1:2" x14ac:dyDescent="0.3">
      <c r="A453" t="s">
        <v>765</v>
      </c>
      <c r="B453" t="s">
        <v>766</v>
      </c>
    </row>
    <row r="454" spans="1:2" x14ac:dyDescent="0.3">
      <c r="A454" t="s">
        <v>767</v>
      </c>
      <c r="B454" t="s">
        <v>768</v>
      </c>
    </row>
    <row r="455" spans="1:2" x14ac:dyDescent="0.3">
      <c r="A455" t="s">
        <v>769</v>
      </c>
      <c r="B455" t="s">
        <v>770</v>
      </c>
    </row>
    <row r="456" spans="1:2" x14ac:dyDescent="0.3">
      <c r="A456" t="s">
        <v>771</v>
      </c>
      <c r="B456" t="s">
        <v>772</v>
      </c>
    </row>
    <row r="457" spans="1:2" x14ac:dyDescent="0.3">
      <c r="A457" t="s">
        <v>773</v>
      </c>
      <c r="B457" t="s">
        <v>774</v>
      </c>
    </row>
    <row r="458" spans="1:2" x14ac:dyDescent="0.3">
      <c r="A458" t="s">
        <v>775</v>
      </c>
      <c r="B458" t="s">
        <v>776</v>
      </c>
    </row>
    <row r="459" spans="1:2" x14ac:dyDescent="0.3">
      <c r="A459" t="s">
        <v>777</v>
      </c>
      <c r="B459" t="s">
        <v>778</v>
      </c>
    </row>
    <row r="460" spans="1:2" x14ac:dyDescent="0.3">
      <c r="A460" t="s">
        <v>779</v>
      </c>
      <c r="B460" t="s">
        <v>780</v>
      </c>
    </row>
    <row r="461" spans="1:2" x14ac:dyDescent="0.3">
      <c r="A461" t="s">
        <v>781</v>
      </c>
      <c r="B461" t="s">
        <v>782</v>
      </c>
    </row>
    <row r="462" spans="1:2" x14ac:dyDescent="0.3">
      <c r="A462" t="s">
        <v>783</v>
      </c>
      <c r="B462" t="s">
        <v>784</v>
      </c>
    </row>
    <row r="463" spans="1:2" x14ac:dyDescent="0.3">
      <c r="A463" t="s">
        <v>785</v>
      </c>
      <c r="B463" t="s">
        <v>786</v>
      </c>
    </row>
    <row r="464" spans="1:2" x14ac:dyDescent="0.3">
      <c r="A464" t="s">
        <v>787</v>
      </c>
      <c r="B464" t="s">
        <v>788</v>
      </c>
    </row>
    <row r="465" spans="1:2" x14ac:dyDescent="0.3">
      <c r="A465" t="s">
        <v>789</v>
      </c>
      <c r="B465" t="s">
        <v>790</v>
      </c>
    </row>
    <row r="466" spans="1:2" x14ac:dyDescent="0.3">
      <c r="A466" t="s">
        <v>791</v>
      </c>
      <c r="B466" t="s">
        <v>792</v>
      </c>
    </row>
    <row r="467" spans="1:2" x14ac:dyDescent="0.3">
      <c r="A467" t="s">
        <v>793</v>
      </c>
      <c r="B467" t="s">
        <v>794</v>
      </c>
    </row>
    <row r="468" spans="1:2" x14ac:dyDescent="0.3">
      <c r="A468" t="s">
        <v>795</v>
      </c>
      <c r="B468" t="s">
        <v>796</v>
      </c>
    </row>
    <row r="469" spans="1:2" x14ac:dyDescent="0.3">
      <c r="A469" t="s">
        <v>797</v>
      </c>
      <c r="B469" t="s">
        <v>798</v>
      </c>
    </row>
    <row r="470" spans="1:2" x14ac:dyDescent="0.3">
      <c r="A470" t="s">
        <v>799</v>
      </c>
      <c r="B470" t="s">
        <v>800</v>
      </c>
    </row>
    <row r="471" spans="1:2" x14ac:dyDescent="0.3">
      <c r="A471" t="s">
        <v>801</v>
      </c>
      <c r="B471" t="s">
        <v>802</v>
      </c>
    </row>
    <row r="472" spans="1:2" x14ac:dyDescent="0.3">
      <c r="A472" t="s">
        <v>803</v>
      </c>
      <c r="B472" t="s">
        <v>804</v>
      </c>
    </row>
    <row r="473" spans="1:2" x14ac:dyDescent="0.3">
      <c r="A473" t="s">
        <v>805</v>
      </c>
      <c r="B473" t="s">
        <v>806</v>
      </c>
    </row>
    <row r="474" spans="1:2" x14ac:dyDescent="0.3">
      <c r="A474" t="s">
        <v>807</v>
      </c>
      <c r="B474" t="s">
        <v>808</v>
      </c>
    </row>
    <row r="475" spans="1:2" x14ac:dyDescent="0.3">
      <c r="A475" t="s">
        <v>809</v>
      </c>
      <c r="B475" t="s">
        <v>810</v>
      </c>
    </row>
    <row r="476" spans="1:2" x14ac:dyDescent="0.3">
      <c r="A476" t="s">
        <v>811</v>
      </c>
      <c r="B476" t="s">
        <v>812</v>
      </c>
    </row>
    <row r="477" spans="1:2" x14ac:dyDescent="0.3">
      <c r="A477" t="s">
        <v>813</v>
      </c>
      <c r="B477" t="s">
        <v>814</v>
      </c>
    </row>
    <row r="478" spans="1:2" x14ac:dyDescent="0.3">
      <c r="A478" t="s">
        <v>815</v>
      </c>
      <c r="B478" t="s">
        <v>816</v>
      </c>
    </row>
    <row r="479" spans="1:2" x14ac:dyDescent="0.3">
      <c r="A479" t="s">
        <v>817</v>
      </c>
      <c r="B479" t="s">
        <v>818</v>
      </c>
    </row>
    <row r="482" spans="1:2" x14ac:dyDescent="0.3">
      <c r="A482" t="s">
        <v>819</v>
      </c>
      <c r="B482" t="s">
        <v>820</v>
      </c>
    </row>
    <row r="483" spans="1:2" x14ac:dyDescent="0.3">
      <c r="A483" t="s">
        <v>821</v>
      </c>
      <c r="B483" t="s">
        <v>822</v>
      </c>
    </row>
    <row r="484" spans="1:2" x14ac:dyDescent="0.3">
      <c r="A484" t="s">
        <v>823</v>
      </c>
      <c r="B484" t="s">
        <v>824</v>
      </c>
    </row>
    <row r="485" spans="1:2" x14ac:dyDescent="0.3">
      <c r="A485" t="s">
        <v>825</v>
      </c>
      <c r="B485" t="s">
        <v>826</v>
      </c>
    </row>
    <row r="487" spans="1:2" x14ac:dyDescent="0.3">
      <c r="A487" t="s">
        <v>827</v>
      </c>
      <c r="B487" t="s">
        <v>828</v>
      </c>
    </row>
    <row r="488" spans="1:2" x14ac:dyDescent="0.3">
      <c r="A488" t="s">
        <v>829</v>
      </c>
      <c r="B488" t="s">
        <v>830</v>
      </c>
    </row>
    <row r="489" spans="1:2" x14ac:dyDescent="0.3">
      <c r="A489" t="s">
        <v>831</v>
      </c>
      <c r="B489" t="s">
        <v>832</v>
      </c>
    </row>
    <row r="490" spans="1:2" x14ac:dyDescent="0.3">
      <c r="A490" t="s">
        <v>833</v>
      </c>
      <c r="B490" t="s">
        <v>834</v>
      </c>
    </row>
    <row r="491" spans="1:2" x14ac:dyDescent="0.3">
      <c r="A491" t="s">
        <v>835</v>
      </c>
      <c r="B491" t="s">
        <v>836</v>
      </c>
    </row>
    <row r="492" spans="1:2" x14ac:dyDescent="0.3">
      <c r="A492" t="s">
        <v>837</v>
      </c>
      <c r="B492" t="s">
        <v>838</v>
      </c>
    </row>
    <row r="493" spans="1:2" x14ac:dyDescent="0.3">
      <c r="A493" t="s">
        <v>839</v>
      </c>
      <c r="B493" t="s">
        <v>840</v>
      </c>
    </row>
    <row r="494" spans="1:2" x14ac:dyDescent="0.3">
      <c r="A494" t="s">
        <v>841</v>
      </c>
      <c r="B494" t="s">
        <v>842</v>
      </c>
    </row>
    <row r="496" spans="1:2" x14ac:dyDescent="0.3">
      <c r="A496" t="s">
        <v>843</v>
      </c>
      <c r="B496" t="s">
        <v>844</v>
      </c>
    </row>
    <row r="498" spans="1:2" x14ac:dyDescent="0.3">
      <c r="A498" t="s">
        <v>845</v>
      </c>
      <c r="B498" t="s">
        <v>846</v>
      </c>
    </row>
    <row r="500" spans="1:2" x14ac:dyDescent="0.3">
      <c r="A500" t="s">
        <v>847</v>
      </c>
      <c r="B500" t="s">
        <v>848</v>
      </c>
    </row>
    <row r="501" spans="1:2" x14ac:dyDescent="0.3">
      <c r="A501" t="s">
        <v>849</v>
      </c>
      <c r="B501" t="s">
        <v>850</v>
      </c>
    </row>
    <row r="502" spans="1:2" x14ac:dyDescent="0.3">
      <c r="A502" t="s">
        <v>851</v>
      </c>
      <c r="B502" t="s">
        <v>852</v>
      </c>
    </row>
    <row r="503" spans="1:2" x14ac:dyDescent="0.3">
      <c r="A503" t="s">
        <v>853</v>
      </c>
      <c r="B503" t="s">
        <v>854</v>
      </c>
    </row>
    <row r="504" spans="1:2" x14ac:dyDescent="0.3">
      <c r="A504" t="s">
        <v>855</v>
      </c>
      <c r="B504" t="s">
        <v>856</v>
      </c>
    </row>
    <row r="505" spans="1:2" x14ac:dyDescent="0.3">
      <c r="A505" t="s">
        <v>857</v>
      </c>
      <c r="B505" t="s">
        <v>858</v>
      </c>
    </row>
    <row r="507" spans="1:2" x14ac:dyDescent="0.3">
      <c r="A507" t="s">
        <v>859</v>
      </c>
      <c r="B507" t="s">
        <v>860</v>
      </c>
    </row>
    <row r="508" spans="1:2" x14ac:dyDescent="0.3">
      <c r="A508" t="s">
        <v>861</v>
      </c>
      <c r="B508" t="s">
        <v>862</v>
      </c>
    </row>
    <row r="510" spans="1:2" x14ac:dyDescent="0.3">
      <c r="A510" t="s">
        <v>863</v>
      </c>
      <c r="B510" t="s">
        <v>864</v>
      </c>
    </row>
    <row r="511" spans="1:2" x14ac:dyDescent="0.3">
      <c r="A511" t="s">
        <v>865</v>
      </c>
      <c r="B511" t="s">
        <v>866</v>
      </c>
    </row>
    <row r="513" spans="1:2" x14ac:dyDescent="0.3">
      <c r="A513" t="s">
        <v>867</v>
      </c>
      <c r="B513" t="s">
        <v>868</v>
      </c>
    </row>
    <row r="514" spans="1:2" x14ac:dyDescent="0.3">
      <c r="A514" t="s">
        <v>869</v>
      </c>
      <c r="B514" t="s">
        <v>870</v>
      </c>
    </row>
    <row r="515" spans="1:2" x14ac:dyDescent="0.3">
      <c r="A515" t="s">
        <v>871</v>
      </c>
      <c r="B515" t="s">
        <v>241</v>
      </c>
    </row>
    <row r="516" spans="1:2" x14ac:dyDescent="0.3">
      <c r="A516" t="s">
        <v>872</v>
      </c>
      <c r="B516" t="s">
        <v>873</v>
      </c>
    </row>
    <row r="517" spans="1:2" x14ac:dyDescent="0.3">
      <c r="A517" t="s">
        <v>874</v>
      </c>
      <c r="B517" t="s">
        <v>875</v>
      </c>
    </row>
    <row r="518" spans="1:2" x14ac:dyDescent="0.3">
      <c r="A518" t="s">
        <v>876</v>
      </c>
      <c r="B518" t="s">
        <v>877</v>
      </c>
    </row>
    <row r="519" spans="1:2" x14ac:dyDescent="0.3">
      <c r="A519" t="s">
        <v>878</v>
      </c>
      <c r="B519" t="s">
        <v>879</v>
      </c>
    </row>
    <row r="520" spans="1:2" x14ac:dyDescent="0.3">
      <c r="A520" t="s">
        <v>880</v>
      </c>
      <c r="B520" t="s">
        <v>881</v>
      </c>
    </row>
    <row r="521" spans="1:2" x14ac:dyDescent="0.3">
      <c r="A521" t="s">
        <v>882</v>
      </c>
      <c r="B521" t="s">
        <v>883</v>
      </c>
    </row>
    <row r="522" spans="1:2" x14ac:dyDescent="0.3">
      <c r="A522" t="s">
        <v>884</v>
      </c>
      <c r="B522" t="s">
        <v>885</v>
      </c>
    </row>
    <row r="523" spans="1:2" x14ac:dyDescent="0.3">
      <c r="A523" t="s">
        <v>886</v>
      </c>
      <c r="B523" t="s">
        <v>887</v>
      </c>
    </row>
    <row r="524" spans="1:2" x14ac:dyDescent="0.3">
      <c r="A524" t="s">
        <v>888</v>
      </c>
      <c r="B524" t="s">
        <v>889</v>
      </c>
    </row>
    <row r="525" spans="1:2" x14ac:dyDescent="0.3">
      <c r="A525" t="s">
        <v>890</v>
      </c>
      <c r="B525" t="s">
        <v>891</v>
      </c>
    </row>
    <row r="526" spans="1:2" x14ac:dyDescent="0.3">
      <c r="A526" t="s">
        <v>892</v>
      </c>
      <c r="B526" t="s">
        <v>893</v>
      </c>
    </row>
    <row r="527" spans="1:2" x14ac:dyDescent="0.3">
      <c r="A527" t="s">
        <v>894</v>
      </c>
      <c r="B527" t="s">
        <v>895</v>
      </c>
    </row>
    <row r="528" spans="1:2" x14ac:dyDescent="0.3">
      <c r="A528" t="s">
        <v>896</v>
      </c>
      <c r="B528" t="s">
        <v>897</v>
      </c>
    </row>
    <row r="529" spans="1:2" x14ac:dyDescent="0.3">
      <c r="A529" t="s">
        <v>898</v>
      </c>
      <c r="B529" t="s">
        <v>899</v>
      </c>
    </row>
    <row r="530" spans="1:2" x14ac:dyDescent="0.3">
      <c r="A530" t="s">
        <v>900</v>
      </c>
      <c r="B530" t="s">
        <v>901</v>
      </c>
    </row>
    <row r="531" spans="1:2" x14ac:dyDescent="0.3">
      <c r="A531" t="s">
        <v>902</v>
      </c>
      <c r="B531" t="s">
        <v>903</v>
      </c>
    </row>
    <row r="532" spans="1:2" x14ac:dyDescent="0.3">
      <c r="A532" t="s">
        <v>904</v>
      </c>
      <c r="B532" t="s">
        <v>905</v>
      </c>
    </row>
    <row r="533" spans="1:2" x14ac:dyDescent="0.3">
      <c r="A533" t="s">
        <v>906</v>
      </c>
      <c r="B533" t="s">
        <v>907</v>
      </c>
    </row>
    <row r="534" spans="1:2" x14ac:dyDescent="0.3">
      <c r="A534" t="s">
        <v>908</v>
      </c>
      <c r="B534" t="s">
        <v>909</v>
      </c>
    </row>
    <row r="535" spans="1:2" x14ac:dyDescent="0.3">
      <c r="A535" t="s">
        <v>910</v>
      </c>
      <c r="B535" t="s">
        <v>911</v>
      </c>
    </row>
    <row r="536" spans="1:2" x14ac:dyDescent="0.3">
      <c r="A536" t="s">
        <v>912</v>
      </c>
      <c r="B536" t="s">
        <v>913</v>
      </c>
    </row>
    <row r="537" spans="1:2" x14ac:dyDescent="0.3">
      <c r="A537" t="s">
        <v>914</v>
      </c>
      <c r="B537" t="s">
        <v>915</v>
      </c>
    </row>
    <row r="538" spans="1:2" x14ac:dyDescent="0.3">
      <c r="A538" t="s">
        <v>916</v>
      </c>
      <c r="B538" t="s">
        <v>917</v>
      </c>
    </row>
    <row r="539" spans="1:2" x14ac:dyDescent="0.3">
      <c r="A539" t="s">
        <v>918</v>
      </c>
      <c r="B539" t="s">
        <v>919</v>
      </c>
    </row>
    <row r="540" spans="1:2" x14ac:dyDescent="0.3">
      <c r="A540" t="s">
        <v>920</v>
      </c>
      <c r="B540" t="s">
        <v>921</v>
      </c>
    </row>
    <row r="541" spans="1:2" x14ac:dyDescent="0.3">
      <c r="A541" t="s">
        <v>922</v>
      </c>
      <c r="B541" t="s">
        <v>923</v>
      </c>
    </row>
    <row r="543" spans="1:2" x14ac:dyDescent="0.3">
      <c r="A543" t="s">
        <v>924</v>
      </c>
      <c r="B543" t="s">
        <v>925</v>
      </c>
    </row>
    <row r="544" spans="1:2" x14ac:dyDescent="0.3">
      <c r="A544" t="s">
        <v>926</v>
      </c>
      <c r="B544" t="s">
        <v>927</v>
      </c>
    </row>
    <row r="545" spans="1:2" x14ac:dyDescent="0.3">
      <c r="A545" t="s">
        <v>928</v>
      </c>
      <c r="B545" t="s">
        <v>929</v>
      </c>
    </row>
    <row r="547" spans="1:2" x14ac:dyDescent="0.3">
      <c r="A547" t="s">
        <v>930</v>
      </c>
      <c r="B547" t="s">
        <v>931</v>
      </c>
    </row>
    <row r="548" spans="1:2" x14ac:dyDescent="0.3">
      <c r="A548" t="s">
        <v>932</v>
      </c>
      <c r="B548" t="s">
        <v>933</v>
      </c>
    </row>
    <row r="549" spans="1:2" x14ac:dyDescent="0.3">
      <c r="A549" t="s">
        <v>934</v>
      </c>
      <c r="B549" t="s">
        <v>935</v>
      </c>
    </row>
    <row r="550" spans="1:2" x14ac:dyDescent="0.3">
      <c r="A550" t="s">
        <v>936</v>
      </c>
      <c r="B550" t="s">
        <v>937</v>
      </c>
    </row>
    <row r="551" spans="1:2" x14ac:dyDescent="0.3">
      <c r="A551" t="s">
        <v>938</v>
      </c>
      <c r="B551" t="s">
        <v>939</v>
      </c>
    </row>
    <row r="552" spans="1:2" x14ac:dyDescent="0.3">
      <c r="A552" t="s">
        <v>940</v>
      </c>
      <c r="B552" t="s">
        <v>941</v>
      </c>
    </row>
    <row r="554" spans="1:2" x14ac:dyDescent="0.3">
      <c r="A554" t="s">
        <v>942</v>
      </c>
      <c r="B554" t="s">
        <v>943</v>
      </c>
    </row>
    <row r="555" spans="1:2" x14ac:dyDescent="0.3">
      <c r="A555" t="s">
        <v>944</v>
      </c>
      <c r="B555" t="s">
        <v>945</v>
      </c>
    </row>
    <row r="556" spans="1:2" x14ac:dyDescent="0.3">
      <c r="A556" t="s">
        <v>946</v>
      </c>
      <c r="B556" t="s">
        <v>947</v>
      </c>
    </row>
    <row r="557" spans="1:2" x14ac:dyDescent="0.3">
      <c r="A557" t="s">
        <v>948</v>
      </c>
      <c r="B557" t="s">
        <v>949</v>
      </c>
    </row>
    <row r="558" spans="1:2" x14ac:dyDescent="0.3">
      <c r="A558" t="s">
        <v>950</v>
      </c>
      <c r="B558" t="s">
        <v>951</v>
      </c>
    </row>
    <row r="559" spans="1:2" x14ac:dyDescent="0.3">
      <c r="A559" t="s">
        <v>952</v>
      </c>
      <c r="B559" t="s">
        <v>953</v>
      </c>
    </row>
    <row r="560" spans="1:2" x14ac:dyDescent="0.3">
      <c r="A560" t="s">
        <v>954</v>
      </c>
      <c r="B560" t="s">
        <v>955</v>
      </c>
    </row>
    <row r="562" spans="1:2" x14ac:dyDescent="0.3">
      <c r="A562" t="s">
        <v>956</v>
      </c>
      <c r="B562" t="s">
        <v>957</v>
      </c>
    </row>
    <row r="564" spans="1:2" x14ac:dyDescent="0.3">
      <c r="A564" t="s">
        <v>958</v>
      </c>
      <c r="B564" t="s">
        <v>959</v>
      </c>
    </row>
    <row r="565" spans="1:2" x14ac:dyDescent="0.3">
      <c r="A565" t="s">
        <v>960</v>
      </c>
      <c r="B565" t="s">
        <v>961</v>
      </c>
    </row>
    <row r="566" spans="1:2" x14ac:dyDescent="0.3">
      <c r="A566" t="s">
        <v>962</v>
      </c>
      <c r="B566" t="s">
        <v>963</v>
      </c>
    </row>
    <row r="567" spans="1:2" x14ac:dyDescent="0.3">
      <c r="A567" t="s">
        <v>964</v>
      </c>
      <c r="B567" t="s">
        <v>965</v>
      </c>
    </row>
    <row r="568" spans="1:2" x14ac:dyDescent="0.3">
      <c r="A568" t="s">
        <v>966</v>
      </c>
      <c r="B568" t="s">
        <v>967</v>
      </c>
    </row>
    <row r="570" spans="1:2" x14ac:dyDescent="0.3">
      <c r="A570" t="s">
        <v>968</v>
      </c>
      <c r="B570" t="s">
        <v>969</v>
      </c>
    </row>
    <row r="571" spans="1:2" x14ac:dyDescent="0.3">
      <c r="A571" t="s">
        <v>970</v>
      </c>
      <c r="B571" t="s">
        <v>971</v>
      </c>
    </row>
    <row r="573" spans="1:2" x14ac:dyDescent="0.3">
      <c r="A573" t="s">
        <v>1</v>
      </c>
    </row>
    <row r="574" spans="1:2" x14ac:dyDescent="0.3">
      <c r="A574" t="s">
        <v>972</v>
      </c>
      <c r="B574" t="s">
        <v>973</v>
      </c>
    </row>
    <row r="575" spans="1:2" x14ac:dyDescent="0.3">
      <c r="A575" t="s">
        <v>974</v>
      </c>
      <c r="B575" t="s">
        <v>975</v>
      </c>
    </row>
    <row r="576" spans="1:2" x14ac:dyDescent="0.3">
      <c r="A576" t="s">
        <v>976</v>
      </c>
      <c r="B576" t="s">
        <v>977</v>
      </c>
    </row>
    <row r="577" spans="1:2" x14ac:dyDescent="0.3">
      <c r="A577" t="s">
        <v>978</v>
      </c>
      <c r="B577" t="s">
        <v>314</v>
      </c>
    </row>
    <row r="578" spans="1:2" x14ac:dyDescent="0.3">
      <c r="A578" t="s">
        <v>979</v>
      </c>
      <c r="B578" t="s">
        <v>980</v>
      </c>
    </row>
    <row r="579" spans="1:2" x14ac:dyDescent="0.3">
      <c r="A579" t="s">
        <v>981</v>
      </c>
      <c r="B579" t="s">
        <v>982</v>
      </c>
    </row>
    <row r="580" spans="1:2" x14ac:dyDescent="0.3">
      <c r="A580" t="s">
        <v>983</v>
      </c>
      <c r="B580" t="s">
        <v>984</v>
      </c>
    </row>
    <row r="581" spans="1:2" x14ac:dyDescent="0.3">
      <c r="A581" t="s">
        <v>985</v>
      </c>
      <c r="B581" t="s">
        <v>986</v>
      </c>
    </row>
    <row r="582" spans="1:2" x14ac:dyDescent="0.3">
      <c r="A582" t="s">
        <v>987</v>
      </c>
      <c r="B582" t="s">
        <v>988</v>
      </c>
    </row>
    <row r="583" spans="1:2" x14ac:dyDescent="0.3">
      <c r="A583" t="s">
        <v>989</v>
      </c>
      <c r="B583" t="s">
        <v>990</v>
      </c>
    </row>
    <row r="584" spans="1:2" x14ac:dyDescent="0.3">
      <c r="A584" t="s">
        <v>991</v>
      </c>
      <c r="B584" t="s">
        <v>992</v>
      </c>
    </row>
    <row r="585" spans="1:2" x14ac:dyDescent="0.3">
      <c r="A585" t="s">
        <v>993</v>
      </c>
      <c r="B585" t="s">
        <v>994</v>
      </c>
    </row>
    <row r="586" spans="1:2" x14ac:dyDescent="0.3">
      <c r="A586" t="s">
        <v>995</v>
      </c>
      <c r="B586" t="s">
        <v>996</v>
      </c>
    </row>
    <row r="588" spans="1:2" x14ac:dyDescent="0.3">
      <c r="A588" t="s">
        <v>2</v>
      </c>
    </row>
    <row r="589" spans="1:2" x14ac:dyDescent="0.3">
      <c r="A589" t="s">
        <v>997</v>
      </c>
      <c r="B589" t="s">
        <v>998</v>
      </c>
    </row>
    <row r="590" spans="1:2" x14ac:dyDescent="0.3">
      <c r="A590" t="s">
        <v>999</v>
      </c>
      <c r="B590" t="s">
        <v>1000</v>
      </c>
    </row>
    <row r="591" spans="1:2" x14ac:dyDescent="0.3">
      <c r="A591" t="s">
        <v>1001</v>
      </c>
      <c r="B591" t="s">
        <v>1002</v>
      </c>
    </row>
    <row r="592" spans="1:2" x14ac:dyDescent="0.3">
      <c r="A592" t="s">
        <v>1003</v>
      </c>
      <c r="B592" t="s">
        <v>1004</v>
      </c>
    </row>
    <row r="593" spans="1:2" x14ac:dyDescent="0.3">
      <c r="A593" t="s">
        <v>1005</v>
      </c>
      <c r="B593" t="s">
        <v>1006</v>
      </c>
    </row>
    <row r="594" spans="1:2" x14ac:dyDescent="0.3">
      <c r="A594" t="s">
        <v>1007</v>
      </c>
      <c r="B594" t="s">
        <v>1008</v>
      </c>
    </row>
    <row r="595" spans="1:2" x14ac:dyDescent="0.3">
      <c r="A595" t="s">
        <v>1009</v>
      </c>
      <c r="B595" t="s">
        <v>1010</v>
      </c>
    </row>
    <row r="596" spans="1:2" x14ac:dyDescent="0.3">
      <c r="A596" t="s">
        <v>1011</v>
      </c>
      <c r="B596" t="s">
        <v>1012</v>
      </c>
    </row>
    <row r="597" spans="1:2" x14ac:dyDescent="0.3">
      <c r="A597" t="s">
        <v>1013</v>
      </c>
      <c r="B597" t="s">
        <v>873</v>
      </c>
    </row>
    <row r="598" spans="1:2" x14ac:dyDescent="0.3">
      <c r="A598" t="s">
        <v>1014</v>
      </c>
      <c r="B598" t="s">
        <v>1015</v>
      </c>
    </row>
    <row r="599" spans="1:2" x14ac:dyDescent="0.3">
      <c r="A599" t="s">
        <v>1016</v>
      </c>
      <c r="B599" t="s">
        <v>1017</v>
      </c>
    </row>
    <row r="600" spans="1:2" x14ac:dyDescent="0.3">
      <c r="A600" t="s">
        <v>1018</v>
      </c>
      <c r="B600" t="s">
        <v>875</v>
      </c>
    </row>
    <row r="601" spans="1:2" x14ac:dyDescent="0.3">
      <c r="A601" t="s">
        <v>1019</v>
      </c>
      <c r="B601" t="s">
        <v>877</v>
      </c>
    </row>
    <row r="602" spans="1:2" x14ac:dyDescent="0.3">
      <c r="A602" t="s">
        <v>1020</v>
      </c>
      <c r="B602" t="s">
        <v>1021</v>
      </c>
    </row>
    <row r="603" spans="1:2" x14ac:dyDescent="0.3">
      <c r="A603" t="s">
        <v>1022</v>
      </c>
      <c r="B603" t="s">
        <v>1023</v>
      </c>
    </row>
    <row r="604" spans="1:2" x14ac:dyDescent="0.3">
      <c r="A604" t="s">
        <v>1026</v>
      </c>
      <c r="B604" t="s">
        <v>2595</v>
      </c>
    </row>
    <row r="606" spans="1:2" x14ac:dyDescent="0.3">
      <c r="A606" t="s">
        <v>3</v>
      </c>
    </row>
    <row r="607" spans="1:2" x14ac:dyDescent="0.3">
      <c r="A607" t="s">
        <v>1028</v>
      </c>
      <c r="B607" t="s">
        <v>1029</v>
      </c>
    </row>
    <row r="608" spans="1:2" x14ac:dyDescent="0.3">
      <c r="A608" t="s">
        <v>1030</v>
      </c>
      <c r="B608" t="s">
        <v>1031</v>
      </c>
    </row>
    <row r="609" spans="1:2" x14ac:dyDescent="0.3">
      <c r="A609" t="s">
        <v>1032</v>
      </c>
      <c r="B609" t="s">
        <v>1033</v>
      </c>
    </row>
    <row r="610" spans="1:2" x14ac:dyDescent="0.3">
      <c r="A610" t="s">
        <v>1034</v>
      </c>
      <c r="B610" t="s">
        <v>1035</v>
      </c>
    </row>
    <row r="612" spans="1:2" x14ac:dyDescent="0.3">
      <c r="A612" t="s">
        <v>1036</v>
      </c>
      <c r="B612" t="s">
        <v>1037</v>
      </c>
    </row>
    <row r="613" spans="1:2" x14ac:dyDescent="0.3">
      <c r="A613" t="s">
        <v>1038</v>
      </c>
      <c r="B613" t="s">
        <v>1039</v>
      </c>
    </row>
    <row r="614" spans="1:2" x14ac:dyDescent="0.3">
      <c r="A614" t="s">
        <v>1040</v>
      </c>
      <c r="B614" t="s">
        <v>1041</v>
      </c>
    </row>
    <row r="615" spans="1:2" x14ac:dyDescent="0.3">
      <c r="A615" t="s">
        <v>1042</v>
      </c>
      <c r="B615" t="s">
        <v>1043</v>
      </c>
    </row>
    <row r="616" spans="1:2" x14ac:dyDescent="0.3">
      <c r="A616" t="s">
        <v>1044</v>
      </c>
      <c r="B616" t="s">
        <v>1045</v>
      </c>
    </row>
    <row r="618" spans="1:2" x14ac:dyDescent="0.3">
      <c r="A618" t="s">
        <v>1046</v>
      </c>
      <c r="B618" t="s">
        <v>1047</v>
      </c>
    </row>
    <row r="619" spans="1:2" x14ac:dyDescent="0.3">
      <c r="A619" t="s">
        <v>1048</v>
      </c>
      <c r="B619" t="s">
        <v>241</v>
      </c>
    </row>
    <row r="620" spans="1:2" x14ac:dyDescent="0.3">
      <c r="A620" t="s">
        <v>1049</v>
      </c>
      <c r="B620" t="s">
        <v>1050</v>
      </c>
    </row>
    <row r="621" spans="1:2" x14ac:dyDescent="0.3">
      <c r="A621" t="s">
        <v>1051</v>
      </c>
      <c r="B621" t="s">
        <v>640</v>
      </c>
    </row>
    <row r="622" spans="1:2" x14ac:dyDescent="0.3">
      <c r="A622" t="s">
        <v>1052</v>
      </c>
      <c r="B622" t="s">
        <v>1053</v>
      </c>
    </row>
    <row r="625" spans="1:2" x14ac:dyDescent="0.3">
      <c r="A625" t="s">
        <v>1054</v>
      </c>
      <c r="B625" t="s">
        <v>1055</v>
      </c>
    </row>
    <row r="626" spans="1:2" x14ac:dyDescent="0.3">
      <c r="A626" t="s">
        <v>1057</v>
      </c>
      <c r="B626" t="s">
        <v>1058</v>
      </c>
    </row>
    <row r="627" spans="1:2" x14ac:dyDescent="0.3">
      <c r="A627" t="s">
        <v>1059</v>
      </c>
      <c r="B627" t="s">
        <v>1060</v>
      </c>
    </row>
    <row r="628" spans="1:2" x14ac:dyDescent="0.3">
      <c r="A628" t="s">
        <v>1061</v>
      </c>
      <c r="B628" t="s">
        <v>1060</v>
      </c>
    </row>
    <row r="629" spans="1:2" x14ac:dyDescent="0.3">
      <c r="A629" t="s">
        <v>1062</v>
      </c>
      <c r="B629" t="s">
        <v>1063</v>
      </c>
    </row>
    <row r="630" spans="1:2" x14ac:dyDescent="0.3">
      <c r="A630" t="s">
        <v>1064</v>
      </c>
      <c r="B630" t="s">
        <v>1004</v>
      </c>
    </row>
    <row r="631" spans="1:2" x14ac:dyDescent="0.3">
      <c r="A631" t="s">
        <v>1065</v>
      </c>
      <c r="B631" t="s">
        <v>1066</v>
      </c>
    </row>
    <row r="632" spans="1:2" x14ac:dyDescent="0.3">
      <c r="A632" t="s">
        <v>1067</v>
      </c>
      <c r="B632" t="s">
        <v>1068</v>
      </c>
    </row>
    <row r="633" spans="1:2" x14ac:dyDescent="0.3">
      <c r="A633" t="s">
        <v>1069</v>
      </c>
      <c r="B633" t="s">
        <v>1070</v>
      </c>
    </row>
    <row r="634" spans="1:2" x14ac:dyDescent="0.3">
      <c r="A634" t="s">
        <v>1071</v>
      </c>
      <c r="B634" t="s">
        <v>945</v>
      </c>
    </row>
    <row r="635" spans="1:2" x14ac:dyDescent="0.3">
      <c r="A635" t="s">
        <v>1072</v>
      </c>
      <c r="B635" t="s">
        <v>1073</v>
      </c>
    </row>
    <row r="636" spans="1:2" x14ac:dyDescent="0.3">
      <c r="A636" t="s">
        <v>1074</v>
      </c>
      <c r="B636" t="s">
        <v>1075</v>
      </c>
    </row>
    <row r="637" spans="1:2" x14ac:dyDescent="0.3">
      <c r="A637" t="s">
        <v>1076</v>
      </c>
      <c r="B637" t="s">
        <v>1077</v>
      </c>
    </row>
    <row r="638" spans="1:2" x14ac:dyDescent="0.3">
      <c r="A638" t="s">
        <v>1078</v>
      </c>
      <c r="B638" t="s">
        <v>1079</v>
      </c>
    </row>
    <row r="639" spans="1:2" x14ac:dyDescent="0.3">
      <c r="A639" t="s">
        <v>1080</v>
      </c>
      <c r="B639" t="s">
        <v>1081</v>
      </c>
    </row>
    <row r="640" spans="1:2" x14ac:dyDescent="0.3">
      <c r="A640" t="s">
        <v>1082</v>
      </c>
      <c r="B640" t="s">
        <v>1083</v>
      </c>
    </row>
    <row r="641" spans="1:2" x14ac:dyDescent="0.3">
      <c r="A641" t="s">
        <v>1084</v>
      </c>
      <c r="B641" t="s">
        <v>1085</v>
      </c>
    </row>
    <row r="642" spans="1:2" x14ac:dyDescent="0.3">
      <c r="A642" t="s">
        <v>1086</v>
      </c>
      <c r="B642" t="s">
        <v>1087</v>
      </c>
    </row>
    <row r="643" spans="1:2" x14ac:dyDescent="0.3">
      <c r="A643" t="s">
        <v>1088</v>
      </c>
      <c r="B643" t="s">
        <v>1089</v>
      </c>
    </row>
    <row r="644" spans="1:2" x14ac:dyDescent="0.3">
      <c r="A644" t="s">
        <v>1090</v>
      </c>
      <c r="B644" t="s">
        <v>241</v>
      </c>
    </row>
    <row r="645" spans="1:2" x14ac:dyDescent="0.3">
      <c r="A645" t="s">
        <v>1091</v>
      </c>
      <c r="B645" t="s">
        <v>211</v>
      </c>
    </row>
    <row r="646" spans="1:2" x14ac:dyDescent="0.3">
      <c r="A646" t="s">
        <v>1092</v>
      </c>
      <c r="B646" t="s">
        <v>225</v>
      </c>
    </row>
    <row r="647" spans="1:2" x14ac:dyDescent="0.3">
      <c r="A647" t="s">
        <v>1095</v>
      </c>
      <c r="B647" t="s">
        <v>1096</v>
      </c>
    </row>
    <row r="648" spans="1:2" x14ac:dyDescent="0.3">
      <c r="A648" t="s">
        <v>1097</v>
      </c>
      <c r="B648" t="s">
        <v>1098</v>
      </c>
    </row>
    <row r="649" spans="1:2" x14ac:dyDescent="0.3">
      <c r="A649" t="s">
        <v>1099</v>
      </c>
      <c r="B649" t="s">
        <v>2596</v>
      </c>
    </row>
    <row r="650" spans="1:2" x14ac:dyDescent="0.3">
      <c r="A650" t="s">
        <v>1101</v>
      </c>
      <c r="B650" t="s">
        <v>2597</v>
      </c>
    </row>
    <row r="651" spans="1:2" x14ac:dyDescent="0.3">
      <c r="A651" t="s">
        <v>1103</v>
      </c>
      <c r="B651" t="s">
        <v>1104</v>
      </c>
    </row>
    <row r="652" spans="1:2" x14ac:dyDescent="0.3">
      <c r="A652" t="s">
        <v>1105</v>
      </c>
      <c r="B652" t="s">
        <v>1106</v>
      </c>
    </row>
    <row r="653" spans="1:2" x14ac:dyDescent="0.3">
      <c r="A653" t="s">
        <v>1107</v>
      </c>
      <c r="B653" t="s">
        <v>1104</v>
      </c>
    </row>
    <row r="654" spans="1:2" x14ac:dyDescent="0.3">
      <c r="A654" t="s">
        <v>1108</v>
      </c>
      <c r="B654" t="s">
        <v>11</v>
      </c>
    </row>
    <row r="655" spans="1:2" x14ac:dyDescent="0.3">
      <c r="A655" t="s">
        <v>1109</v>
      </c>
      <c r="B655" t="s">
        <v>1110</v>
      </c>
    </row>
    <row r="656" spans="1:2" x14ac:dyDescent="0.3">
      <c r="A656" t="s">
        <v>1111</v>
      </c>
      <c r="B656" t="s">
        <v>2598</v>
      </c>
    </row>
    <row r="658" spans="1:2" x14ac:dyDescent="0.3">
      <c r="A658" t="s">
        <v>1136</v>
      </c>
      <c r="B658" t="s">
        <v>2599</v>
      </c>
    </row>
    <row r="659" spans="1:2" x14ac:dyDescent="0.3">
      <c r="A659" t="s">
        <v>1137</v>
      </c>
      <c r="B659" t="s">
        <v>2600</v>
      </c>
    </row>
    <row r="660" spans="1:2" x14ac:dyDescent="0.3">
      <c r="A660" t="s">
        <v>1139</v>
      </c>
      <c r="B660" t="s">
        <v>2601</v>
      </c>
    </row>
    <row r="661" spans="1:2" x14ac:dyDescent="0.3">
      <c r="A661" t="s">
        <v>1141</v>
      </c>
      <c r="B661" t="s">
        <v>2602</v>
      </c>
    </row>
    <row r="662" spans="1:2" x14ac:dyDescent="0.3">
      <c r="A662" t="s">
        <v>1143</v>
      </c>
      <c r="B662" t="s">
        <v>2603</v>
      </c>
    </row>
    <row r="663" spans="1:2" x14ac:dyDescent="0.3">
      <c r="A663" t="s">
        <v>1145</v>
      </c>
      <c r="B663" t="s">
        <v>1146</v>
      </c>
    </row>
    <row r="664" spans="1:2" x14ac:dyDescent="0.3">
      <c r="A664" t="s">
        <v>1147</v>
      </c>
      <c r="B664" t="s">
        <v>1148</v>
      </c>
    </row>
    <row r="665" spans="1:2" x14ac:dyDescent="0.3">
      <c r="A665" t="s">
        <v>1149</v>
      </c>
      <c r="B665" t="s">
        <v>1150</v>
      </c>
    </row>
    <row r="666" spans="1:2" x14ac:dyDescent="0.3">
      <c r="A666" t="s">
        <v>1151</v>
      </c>
      <c r="B666" t="s">
        <v>1152</v>
      </c>
    </row>
    <row r="667" spans="1:2" x14ac:dyDescent="0.3">
      <c r="A667" t="s">
        <v>1153</v>
      </c>
      <c r="B667" t="s">
        <v>1154</v>
      </c>
    </row>
    <row r="668" spans="1:2" x14ac:dyDescent="0.3">
      <c r="A668" t="s">
        <v>1155</v>
      </c>
      <c r="B668" t="s">
        <v>977</v>
      </c>
    </row>
    <row r="669" spans="1:2" x14ac:dyDescent="0.3">
      <c r="A669" t="s">
        <v>1156</v>
      </c>
      <c r="B669" t="s">
        <v>1157</v>
      </c>
    </row>
    <row r="670" spans="1:2" x14ac:dyDescent="0.3">
      <c r="A670" t="s">
        <v>2604</v>
      </c>
      <c r="B670" t="s">
        <v>1159</v>
      </c>
    </row>
    <row r="671" spans="1:2" x14ac:dyDescent="0.3">
      <c r="A671" t="s">
        <v>2605</v>
      </c>
      <c r="B671" t="s">
        <v>1161</v>
      </c>
    </row>
    <row r="672" spans="1:2" x14ac:dyDescent="0.3">
      <c r="A672" t="s">
        <v>1162</v>
      </c>
      <c r="B672" t="s">
        <v>1163</v>
      </c>
    </row>
    <row r="673" spans="1:2" x14ac:dyDescent="0.3">
      <c r="A673" t="s">
        <v>1164</v>
      </c>
      <c r="B673" t="s">
        <v>1165</v>
      </c>
    </row>
    <row r="674" spans="1:2" x14ac:dyDescent="0.3">
      <c r="A674" t="s">
        <v>1166</v>
      </c>
      <c r="B674" t="s">
        <v>1167</v>
      </c>
    </row>
    <row r="675" spans="1:2" x14ac:dyDescent="0.3">
      <c r="A675" t="s">
        <v>1168</v>
      </c>
      <c r="B675" t="s">
        <v>1169</v>
      </c>
    </row>
    <row r="676" spans="1:2" x14ac:dyDescent="0.3">
      <c r="A676" t="s">
        <v>1170</v>
      </c>
      <c r="B676" t="s">
        <v>1171</v>
      </c>
    </row>
    <row r="677" spans="1:2" x14ac:dyDescent="0.3">
      <c r="A677" t="s">
        <v>1172</v>
      </c>
      <c r="B677" t="s">
        <v>2606</v>
      </c>
    </row>
    <row r="678" spans="1:2" x14ac:dyDescent="0.3">
      <c r="A678" t="s">
        <v>1174</v>
      </c>
      <c r="B678" t="s">
        <v>1175</v>
      </c>
    </row>
    <row r="679" spans="1:2" x14ac:dyDescent="0.3">
      <c r="A679" t="s">
        <v>1176</v>
      </c>
      <c r="B679" t="s">
        <v>1177</v>
      </c>
    </row>
    <row r="680" spans="1:2" x14ac:dyDescent="0.3">
      <c r="A680" t="s">
        <v>1178</v>
      </c>
      <c r="B680" t="s">
        <v>1179</v>
      </c>
    </row>
    <row r="681" spans="1:2" x14ac:dyDescent="0.3">
      <c r="A681" t="s">
        <v>1180</v>
      </c>
      <c r="B681" t="s">
        <v>1181</v>
      </c>
    </row>
    <row r="682" spans="1:2" x14ac:dyDescent="0.3">
      <c r="A682" t="s">
        <v>1182</v>
      </c>
      <c r="B682" t="s">
        <v>1183</v>
      </c>
    </row>
    <row r="683" spans="1:2" x14ac:dyDescent="0.3">
      <c r="A683" t="s">
        <v>1184</v>
      </c>
      <c r="B683" t="s">
        <v>1185</v>
      </c>
    </row>
    <row r="684" spans="1:2" x14ac:dyDescent="0.3">
      <c r="A684" t="s">
        <v>1186</v>
      </c>
      <c r="B684" t="s">
        <v>1187</v>
      </c>
    </row>
    <row r="685" spans="1:2" x14ac:dyDescent="0.3">
      <c r="A685" t="s">
        <v>1188</v>
      </c>
      <c r="B685" t="s">
        <v>1189</v>
      </c>
    </row>
    <row r="686" spans="1:2" x14ac:dyDescent="0.3">
      <c r="A686" t="s">
        <v>1190</v>
      </c>
      <c r="B686" t="s">
        <v>1191</v>
      </c>
    </row>
    <row r="687" spans="1:2" x14ac:dyDescent="0.3">
      <c r="A687" t="s">
        <v>1192</v>
      </c>
      <c r="B687" t="s">
        <v>1193</v>
      </c>
    </row>
    <row r="688" spans="1:2" x14ac:dyDescent="0.3">
      <c r="A688" t="s">
        <v>1194</v>
      </c>
      <c r="B688" t="s">
        <v>1195</v>
      </c>
    </row>
    <row r="689" spans="1:2" x14ac:dyDescent="0.3">
      <c r="A689" t="s">
        <v>1196</v>
      </c>
      <c r="B689" t="s">
        <v>1197</v>
      </c>
    </row>
    <row r="690" spans="1:2" x14ac:dyDescent="0.3">
      <c r="A690" t="s">
        <v>1198</v>
      </c>
      <c r="B690" t="s">
        <v>1199</v>
      </c>
    </row>
    <row r="691" spans="1:2" x14ac:dyDescent="0.3">
      <c r="A691" t="s">
        <v>1200</v>
      </c>
      <c r="B691" t="s">
        <v>1201</v>
      </c>
    </row>
    <row r="692" spans="1:2" x14ac:dyDescent="0.3">
      <c r="A692" t="s">
        <v>1202</v>
      </c>
      <c r="B692" t="s">
        <v>1203</v>
      </c>
    </row>
    <row r="693" spans="1:2" x14ac:dyDescent="0.3">
      <c r="A693" t="s">
        <v>1204</v>
      </c>
      <c r="B693" t="s">
        <v>1205</v>
      </c>
    </row>
    <row r="694" spans="1:2" x14ac:dyDescent="0.3">
      <c r="A694" t="s">
        <v>1206</v>
      </c>
      <c r="B694" t="s">
        <v>1207</v>
      </c>
    </row>
    <row r="695" spans="1:2" x14ac:dyDescent="0.3">
      <c r="A695" t="s">
        <v>1208</v>
      </c>
      <c r="B695" t="s">
        <v>1209</v>
      </c>
    </row>
    <row r="696" spans="1:2" x14ac:dyDescent="0.3">
      <c r="A696" t="s">
        <v>1210</v>
      </c>
      <c r="B696" t="s">
        <v>1211</v>
      </c>
    </row>
    <row r="697" spans="1:2" x14ac:dyDescent="0.3">
      <c r="A697" t="s">
        <v>1212</v>
      </c>
      <c r="B697" t="s">
        <v>1213</v>
      </c>
    </row>
    <row r="698" spans="1:2" x14ac:dyDescent="0.3">
      <c r="A698" t="s">
        <v>1214</v>
      </c>
      <c r="B698" t="s">
        <v>1215</v>
      </c>
    </row>
    <row r="699" spans="1:2" x14ac:dyDescent="0.3">
      <c r="A699" t="s">
        <v>1216</v>
      </c>
      <c r="B699" t="s">
        <v>1087</v>
      </c>
    </row>
    <row r="700" spans="1:2" x14ac:dyDescent="0.3">
      <c r="A700" t="s">
        <v>1217</v>
      </c>
      <c r="B700" t="s">
        <v>1218</v>
      </c>
    </row>
    <row r="701" spans="1:2" x14ac:dyDescent="0.3">
      <c r="A701" t="s">
        <v>1219</v>
      </c>
      <c r="B701" t="s">
        <v>1220</v>
      </c>
    </row>
    <row r="702" spans="1:2" x14ac:dyDescent="0.3">
      <c r="A702" t="s">
        <v>1221</v>
      </c>
      <c r="B702" t="s">
        <v>1222</v>
      </c>
    </row>
    <row r="703" spans="1:2" x14ac:dyDescent="0.3">
      <c r="A703" t="s">
        <v>1223</v>
      </c>
      <c r="B703" t="s">
        <v>1224</v>
      </c>
    </row>
    <row r="704" spans="1:2" x14ac:dyDescent="0.3">
      <c r="A704" t="s">
        <v>1225</v>
      </c>
      <c r="B704" t="s">
        <v>1226</v>
      </c>
    </row>
    <row r="705" spans="1:2" x14ac:dyDescent="0.3">
      <c r="A705" t="s">
        <v>1227</v>
      </c>
      <c r="B705" t="s">
        <v>1228</v>
      </c>
    </row>
    <row r="706" spans="1:2" x14ac:dyDescent="0.3">
      <c r="A706" t="s">
        <v>1229</v>
      </c>
      <c r="B706" t="s">
        <v>1230</v>
      </c>
    </row>
    <row r="707" spans="1:2" x14ac:dyDescent="0.3">
      <c r="A707" t="s">
        <v>1231</v>
      </c>
      <c r="B707" t="s">
        <v>1232</v>
      </c>
    </row>
    <row r="708" spans="1:2" x14ac:dyDescent="0.3">
      <c r="A708" t="s">
        <v>1233</v>
      </c>
      <c r="B708" t="s">
        <v>1234</v>
      </c>
    </row>
    <row r="709" spans="1:2" x14ac:dyDescent="0.3">
      <c r="A709" t="s">
        <v>1235</v>
      </c>
      <c r="B709" t="s">
        <v>1236</v>
      </c>
    </row>
    <row r="710" spans="1:2" x14ac:dyDescent="0.3">
      <c r="A710" t="s">
        <v>1237</v>
      </c>
      <c r="B710" t="s">
        <v>1238</v>
      </c>
    </row>
    <row r="711" spans="1:2" x14ac:dyDescent="0.3">
      <c r="A711" t="s">
        <v>1239</v>
      </c>
      <c r="B711" t="s">
        <v>1240</v>
      </c>
    </row>
    <row r="712" spans="1:2" x14ac:dyDescent="0.3">
      <c r="A712" t="s">
        <v>1241</v>
      </c>
      <c r="B712" t="s">
        <v>1242</v>
      </c>
    </row>
    <row r="713" spans="1:2" x14ac:dyDescent="0.3">
      <c r="A713" t="s">
        <v>1243</v>
      </c>
      <c r="B713" t="s">
        <v>1244</v>
      </c>
    </row>
    <row r="714" spans="1:2" x14ac:dyDescent="0.3">
      <c r="A714" t="s">
        <v>1245</v>
      </c>
      <c r="B714" t="s">
        <v>1246</v>
      </c>
    </row>
    <row r="715" spans="1:2" x14ac:dyDescent="0.3">
      <c r="A715" t="s">
        <v>1247</v>
      </c>
      <c r="B715" t="s">
        <v>1248</v>
      </c>
    </row>
    <row r="716" spans="1:2" x14ac:dyDescent="0.3">
      <c r="A716" t="s">
        <v>1249</v>
      </c>
      <c r="B716" t="s">
        <v>1250</v>
      </c>
    </row>
    <row r="717" spans="1:2" x14ac:dyDescent="0.3">
      <c r="A717" t="s">
        <v>1251</v>
      </c>
      <c r="B717" t="s">
        <v>1252</v>
      </c>
    </row>
    <row r="718" spans="1:2" x14ac:dyDescent="0.3">
      <c r="A718" t="s">
        <v>1253</v>
      </c>
      <c r="B718" t="s">
        <v>1254</v>
      </c>
    </row>
    <row r="719" spans="1:2" x14ac:dyDescent="0.3">
      <c r="A719" t="s">
        <v>1255</v>
      </c>
      <c r="B719" t="s">
        <v>1256</v>
      </c>
    </row>
    <row r="720" spans="1:2" x14ac:dyDescent="0.3">
      <c r="A720" t="s">
        <v>1257</v>
      </c>
      <c r="B720" t="s">
        <v>1258</v>
      </c>
    </row>
    <row r="721" spans="1:2" x14ac:dyDescent="0.3">
      <c r="A721" t="s">
        <v>1259</v>
      </c>
      <c r="B721" t="s">
        <v>1260</v>
      </c>
    </row>
    <row r="722" spans="1:2" x14ac:dyDescent="0.3">
      <c r="A722" t="s">
        <v>1261</v>
      </c>
      <c r="B722" t="s">
        <v>1262</v>
      </c>
    </row>
    <row r="723" spans="1:2" x14ac:dyDescent="0.3">
      <c r="A723" t="s">
        <v>1263</v>
      </c>
      <c r="B723" t="s">
        <v>1264</v>
      </c>
    </row>
    <row r="724" spans="1:2" x14ac:dyDescent="0.3">
      <c r="A724" t="s">
        <v>1265</v>
      </c>
      <c r="B724" t="s">
        <v>1266</v>
      </c>
    </row>
    <row r="725" spans="1:2" x14ac:dyDescent="0.3">
      <c r="A725" t="s">
        <v>1267</v>
      </c>
      <c r="B725" t="s">
        <v>1268</v>
      </c>
    </row>
    <row r="726" spans="1:2" x14ac:dyDescent="0.3">
      <c r="A726" t="s">
        <v>1269</v>
      </c>
      <c r="B726" t="s">
        <v>1270</v>
      </c>
    </row>
    <row r="727" spans="1:2" x14ac:dyDescent="0.3">
      <c r="A727" t="s">
        <v>1271</v>
      </c>
      <c r="B727" t="s">
        <v>1272</v>
      </c>
    </row>
    <row r="728" spans="1:2" x14ac:dyDescent="0.3">
      <c r="A728" t="s">
        <v>1273</v>
      </c>
      <c r="B728" t="s">
        <v>1274</v>
      </c>
    </row>
    <row r="729" spans="1:2" x14ac:dyDescent="0.3">
      <c r="A729" t="s">
        <v>1275</v>
      </c>
      <c r="B729" t="s">
        <v>1276</v>
      </c>
    </row>
    <row r="730" spans="1:2" x14ac:dyDescent="0.3">
      <c r="A730" t="s">
        <v>1277</v>
      </c>
      <c r="B730" t="s">
        <v>1278</v>
      </c>
    </row>
    <row r="731" spans="1:2" x14ac:dyDescent="0.3">
      <c r="A731" t="s">
        <v>1279</v>
      </c>
      <c r="B731" t="s">
        <v>1280</v>
      </c>
    </row>
    <row r="732" spans="1:2" x14ac:dyDescent="0.3">
      <c r="A732" t="s">
        <v>1281</v>
      </c>
      <c r="B732" t="s">
        <v>1282</v>
      </c>
    </row>
    <row r="733" spans="1:2" x14ac:dyDescent="0.3">
      <c r="A733" t="s">
        <v>1283</v>
      </c>
      <c r="B733" t="s">
        <v>1284</v>
      </c>
    </row>
    <row r="734" spans="1:2" x14ac:dyDescent="0.3">
      <c r="A734" t="s">
        <v>1285</v>
      </c>
      <c r="B734" t="s">
        <v>1286</v>
      </c>
    </row>
    <row r="735" spans="1:2" x14ac:dyDescent="0.3">
      <c r="A735" t="s">
        <v>1287</v>
      </c>
      <c r="B735" t="s">
        <v>1288</v>
      </c>
    </row>
    <row r="736" spans="1:2" x14ac:dyDescent="0.3">
      <c r="A736" t="s">
        <v>1289</v>
      </c>
      <c r="B736" t="s">
        <v>1159</v>
      </c>
    </row>
    <row r="737" spans="1:2" x14ac:dyDescent="0.3">
      <c r="A737" t="s">
        <v>1290</v>
      </c>
      <c r="B737" t="s">
        <v>1291</v>
      </c>
    </row>
    <row r="738" spans="1:2" x14ac:dyDescent="0.3">
      <c r="A738" t="s">
        <v>1292</v>
      </c>
      <c r="B738" t="s">
        <v>1293</v>
      </c>
    </row>
    <row r="739" spans="1:2" x14ac:dyDescent="0.3">
      <c r="A739" t="s">
        <v>1294</v>
      </c>
      <c r="B739" t="s">
        <v>1295</v>
      </c>
    </row>
    <row r="740" spans="1:2" x14ac:dyDescent="0.3">
      <c r="A740" t="s">
        <v>1296</v>
      </c>
      <c r="B740" t="s">
        <v>2607</v>
      </c>
    </row>
    <row r="741" spans="1:2" x14ac:dyDescent="0.3">
      <c r="A741" t="s">
        <v>1297</v>
      </c>
      <c r="B741" t="s">
        <v>2608</v>
      </c>
    </row>
    <row r="742" spans="1:2" x14ac:dyDescent="0.3">
      <c r="A742" t="s">
        <v>1299</v>
      </c>
      <c r="B742" t="s">
        <v>2609</v>
      </c>
    </row>
    <row r="743" spans="1:2" x14ac:dyDescent="0.3">
      <c r="A743" t="s">
        <v>1301</v>
      </c>
      <c r="B743" t="s">
        <v>2610</v>
      </c>
    </row>
    <row r="744" spans="1:2" x14ac:dyDescent="0.3">
      <c r="A744" t="s">
        <v>1307</v>
      </c>
      <c r="B744" t="s">
        <v>1308</v>
      </c>
    </row>
    <row r="745" spans="1:2" x14ac:dyDescent="0.3">
      <c r="A745" t="s">
        <v>1309</v>
      </c>
      <c r="B745" t="s">
        <v>1310</v>
      </c>
    </row>
    <row r="746" spans="1:2" x14ac:dyDescent="0.3">
      <c r="A746" t="s">
        <v>1311</v>
      </c>
      <c r="B746" t="s">
        <v>1312</v>
      </c>
    </row>
    <row r="747" spans="1:2" x14ac:dyDescent="0.3">
      <c r="A747" t="s">
        <v>1313</v>
      </c>
      <c r="B747" t="s">
        <v>1314</v>
      </c>
    </row>
    <row r="748" spans="1:2" x14ac:dyDescent="0.3">
      <c r="A748" t="s">
        <v>1315</v>
      </c>
      <c r="B748" t="s">
        <v>2611</v>
      </c>
    </row>
    <row r="749" spans="1:2" x14ac:dyDescent="0.3">
      <c r="A749" t="s">
        <v>1317</v>
      </c>
      <c r="B749" t="s">
        <v>2612</v>
      </c>
    </row>
    <row r="750" spans="1:2" x14ac:dyDescent="0.3">
      <c r="A750" t="s">
        <v>1319</v>
      </c>
      <c r="B750" t="s">
        <v>1320</v>
      </c>
    </row>
    <row r="751" spans="1:2" x14ac:dyDescent="0.3">
      <c r="A751" t="s">
        <v>1321</v>
      </c>
      <c r="B751" t="s">
        <v>2613</v>
      </c>
    </row>
    <row r="752" spans="1:2" x14ac:dyDescent="0.3">
      <c r="A752" t="s">
        <v>1322</v>
      </c>
      <c r="B752" t="s">
        <v>1323</v>
      </c>
    </row>
    <row r="753" spans="1:2" x14ac:dyDescent="0.3">
      <c r="A753" t="s">
        <v>1324</v>
      </c>
      <c r="B753" t="s">
        <v>1325</v>
      </c>
    </row>
    <row r="754" spans="1:2" x14ac:dyDescent="0.3">
      <c r="A754" t="s">
        <v>1326</v>
      </c>
      <c r="B754" t="s">
        <v>1327</v>
      </c>
    </row>
    <row r="755" spans="1:2" x14ac:dyDescent="0.3">
      <c r="A755" t="s">
        <v>1328</v>
      </c>
      <c r="B755" t="s">
        <v>1329</v>
      </c>
    </row>
    <row r="756" spans="1:2" x14ac:dyDescent="0.3">
      <c r="A756" t="s">
        <v>1330</v>
      </c>
      <c r="B756" t="s">
        <v>1331</v>
      </c>
    </row>
    <row r="757" spans="1:2" x14ac:dyDescent="0.3">
      <c r="A757" t="s">
        <v>1332</v>
      </c>
      <c r="B757" t="s">
        <v>1333</v>
      </c>
    </row>
    <row r="758" spans="1:2" x14ac:dyDescent="0.3">
      <c r="A758" t="s">
        <v>1334</v>
      </c>
      <c r="B758" t="s">
        <v>1335</v>
      </c>
    </row>
    <row r="759" spans="1:2" x14ac:dyDescent="0.3">
      <c r="A759" t="s">
        <v>1336</v>
      </c>
      <c r="B759" t="s">
        <v>1337</v>
      </c>
    </row>
    <row r="760" spans="1:2" x14ac:dyDescent="0.3">
      <c r="A760" t="s">
        <v>1340</v>
      </c>
      <c r="B760" t="s">
        <v>1341</v>
      </c>
    </row>
    <row r="761" spans="1:2" x14ac:dyDescent="0.3">
      <c r="A761" t="s">
        <v>1342</v>
      </c>
      <c r="B761" t="s">
        <v>1343</v>
      </c>
    </row>
    <row r="762" spans="1:2" x14ac:dyDescent="0.3">
      <c r="A762" t="s">
        <v>1344</v>
      </c>
      <c r="B762" t="s">
        <v>1345</v>
      </c>
    </row>
    <row r="763" spans="1:2" x14ac:dyDescent="0.3">
      <c r="A763" t="s">
        <v>1346</v>
      </c>
      <c r="B763" t="s">
        <v>1300</v>
      </c>
    </row>
    <row r="764" spans="1:2" x14ac:dyDescent="0.3">
      <c r="A764" t="s">
        <v>1347</v>
      </c>
      <c r="B764" t="s">
        <v>1348</v>
      </c>
    </row>
    <row r="765" spans="1:2" x14ac:dyDescent="0.3">
      <c r="A765" t="s">
        <v>1349</v>
      </c>
      <c r="B765" t="s">
        <v>1350</v>
      </c>
    </row>
    <row r="766" spans="1:2" x14ac:dyDescent="0.3">
      <c r="A766" t="s">
        <v>1351</v>
      </c>
      <c r="B766" t="s">
        <v>1352</v>
      </c>
    </row>
    <row r="768" spans="1:2" x14ac:dyDescent="0.3">
      <c r="A768" t="s">
        <v>1359</v>
      </c>
      <c r="B768" t="s">
        <v>1360</v>
      </c>
    </row>
    <row r="770" spans="1:2" x14ac:dyDescent="0.3">
      <c r="A770" t="s">
        <v>1361</v>
      </c>
      <c r="B770" t="s">
        <v>1362</v>
      </c>
    </row>
    <row r="771" spans="1:2" x14ac:dyDescent="0.3">
      <c r="A771" t="s">
        <v>1363</v>
      </c>
      <c r="B771" t="s">
        <v>1364</v>
      </c>
    </row>
    <row r="772" spans="1:2" x14ac:dyDescent="0.3">
      <c r="A772" t="s">
        <v>1365</v>
      </c>
      <c r="B772" t="s">
        <v>1366</v>
      </c>
    </row>
    <row r="773" spans="1:2" x14ac:dyDescent="0.3">
      <c r="A773" t="s">
        <v>1369</v>
      </c>
      <c r="B773" t="s">
        <v>1370</v>
      </c>
    </row>
    <row r="774" spans="1:2" x14ac:dyDescent="0.3">
      <c r="A774" t="s">
        <v>1371</v>
      </c>
      <c r="B774" t="s">
        <v>1372</v>
      </c>
    </row>
    <row r="775" spans="1:2" x14ac:dyDescent="0.3">
      <c r="A775" t="s">
        <v>1373</v>
      </c>
      <c r="B775" t="s">
        <v>1374</v>
      </c>
    </row>
    <row r="776" spans="1:2" x14ac:dyDescent="0.3">
      <c r="A776" t="s">
        <v>1375</v>
      </c>
      <c r="B776" t="s">
        <v>1376</v>
      </c>
    </row>
    <row r="777" spans="1:2" x14ac:dyDescent="0.3">
      <c r="A777" t="s">
        <v>1377</v>
      </c>
      <c r="B777" t="s">
        <v>1378</v>
      </c>
    </row>
    <row r="778" spans="1:2" x14ac:dyDescent="0.3">
      <c r="A778" t="s">
        <v>1379</v>
      </c>
      <c r="B778" t="s">
        <v>1380</v>
      </c>
    </row>
    <row r="779" spans="1:2" x14ac:dyDescent="0.3">
      <c r="A779" t="s">
        <v>1381</v>
      </c>
      <c r="B779" t="s">
        <v>1382</v>
      </c>
    </row>
    <row r="780" spans="1:2" x14ac:dyDescent="0.3">
      <c r="A780" t="s">
        <v>1383</v>
      </c>
      <c r="B780" t="s">
        <v>1384</v>
      </c>
    </row>
    <row r="781" spans="1:2" x14ac:dyDescent="0.3">
      <c r="A781" t="s">
        <v>1385</v>
      </c>
      <c r="B781" t="s">
        <v>969</v>
      </c>
    </row>
    <row r="782" spans="1:2" x14ac:dyDescent="0.3">
      <c r="A782" t="s">
        <v>1386</v>
      </c>
      <c r="B782" t="s">
        <v>977</v>
      </c>
    </row>
    <row r="783" spans="1:2" x14ac:dyDescent="0.3">
      <c r="A783" t="s">
        <v>1387</v>
      </c>
      <c r="B783" t="s">
        <v>1150</v>
      </c>
    </row>
    <row r="784" spans="1:2" x14ac:dyDescent="0.3">
      <c r="A784" t="s">
        <v>1388</v>
      </c>
      <c r="B784" t="s">
        <v>1165</v>
      </c>
    </row>
    <row r="785" spans="1:2" x14ac:dyDescent="0.3">
      <c r="A785" t="s">
        <v>1389</v>
      </c>
      <c r="B785" t="s">
        <v>31</v>
      </c>
    </row>
    <row r="786" spans="1:2" x14ac:dyDescent="0.3">
      <c r="A786" t="s">
        <v>1390</v>
      </c>
      <c r="B786" t="s">
        <v>1391</v>
      </c>
    </row>
    <row r="787" spans="1:2" x14ac:dyDescent="0.3">
      <c r="A787" t="s">
        <v>1392</v>
      </c>
      <c r="B787" t="s">
        <v>1393</v>
      </c>
    </row>
    <row r="788" spans="1:2" x14ac:dyDescent="0.3">
      <c r="A788" t="s">
        <v>1394</v>
      </c>
      <c r="B788" t="s">
        <v>1395</v>
      </c>
    </row>
    <row r="789" spans="1:2" x14ac:dyDescent="0.3">
      <c r="A789" t="s">
        <v>1396</v>
      </c>
      <c r="B789" t="s">
        <v>2614</v>
      </c>
    </row>
    <row r="790" spans="1:2" x14ac:dyDescent="0.3">
      <c r="A790" t="s">
        <v>1398</v>
      </c>
      <c r="B790" t="s">
        <v>2615</v>
      </c>
    </row>
    <row r="792" spans="1:2" x14ac:dyDescent="0.3">
      <c r="A792" t="s">
        <v>1400</v>
      </c>
      <c r="B792" t="s">
        <v>1401</v>
      </c>
    </row>
    <row r="794" spans="1:2" x14ac:dyDescent="0.3">
      <c r="A794" t="s">
        <v>1402</v>
      </c>
      <c r="B794" t="s">
        <v>1403</v>
      </c>
    </row>
    <row r="795" spans="1:2" x14ac:dyDescent="0.3">
      <c r="A795" t="s">
        <v>1404</v>
      </c>
      <c r="B795" t="s">
        <v>1405</v>
      </c>
    </row>
    <row r="797" spans="1:2" x14ac:dyDescent="0.3">
      <c r="A797" t="s">
        <v>847</v>
      </c>
      <c r="B797" t="s">
        <v>848</v>
      </c>
    </row>
    <row r="798" spans="1:2" x14ac:dyDescent="0.3">
      <c r="A798" t="s">
        <v>1406</v>
      </c>
      <c r="B798" t="s">
        <v>1407</v>
      </c>
    </row>
    <row r="800" spans="1:2" x14ac:dyDescent="0.3">
      <c r="A800" t="s">
        <v>1408</v>
      </c>
      <c r="B800" t="s">
        <v>1409</v>
      </c>
    </row>
    <row r="801" spans="1:2" x14ac:dyDescent="0.3">
      <c r="A801" t="s">
        <v>1410</v>
      </c>
      <c r="B801" t="s">
        <v>1411</v>
      </c>
    </row>
    <row r="802" spans="1:2" x14ac:dyDescent="0.3">
      <c r="A802" t="s">
        <v>1412</v>
      </c>
      <c r="B802" t="s">
        <v>1413</v>
      </c>
    </row>
    <row r="803" spans="1:2" x14ac:dyDescent="0.3">
      <c r="A803" t="s">
        <v>1414</v>
      </c>
      <c r="B803" t="s">
        <v>1415</v>
      </c>
    </row>
    <row r="805" spans="1:2" x14ac:dyDescent="0.3">
      <c r="A805" t="s">
        <v>1416</v>
      </c>
      <c r="B805" t="s">
        <v>2616</v>
      </c>
    </row>
    <row r="806" spans="1:2" x14ac:dyDescent="0.3">
      <c r="A806" t="s">
        <v>1418</v>
      </c>
      <c r="B806" t="s">
        <v>2617</v>
      </c>
    </row>
    <row r="807" spans="1:2" x14ac:dyDescent="0.3">
      <c r="A807" t="s">
        <v>1420</v>
      </c>
      <c r="B807" t="s">
        <v>2618</v>
      </c>
    </row>
    <row r="808" spans="1:2" x14ac:dyDescent="0.3">
      <c r="A808" t="s">
        <v>1422</v>
      </c>
      <c r="B808" t="s">
        <v>1423</v>
      </c>
    </row>
    <row r="810" spans="1:2" x14ac:dyDescent="0.3">
      <c r="A810" t="s">
        <v>1424</v>
      </c>
      <c r="B810" t="s">
        <v>1425</v>
      </c>
    </row>
    <row r="811" spans="1:2" x14ac:dyDescent="0.3">
      <c r="A811" t="s">
        <v>1426</v>
      </c>
      <c r="B811" t="s">
        <v>1427</v>
      </c>
    </row>
    <row r="812" spans="1:2" x14ac:dyDescent="0.3">
      <c r="A812" t="s">
        <v>1428</v>
      </c>
      <c r="B812" t="s">
        <v>1429</v>
      </c>
    </row>
    <row r="813" spans="1:2" x14ac:dyDescent="0.3">
      <c r="A813" t="s">
        <v>1430</v>
      </c>
      <c r="B813" t="s">
        <v>1423</v>
      </c>
    </row>
    <row r="815" spans="1:2" x14ac:dyDescent="0.3">
      <c r="A815" t="s">
        <v>1431</v>
      </c>
      <c r="B815" t="s">
        <v>2619</v>
      </c>
    </row>
    <row r="816" spans="1:2" x14ac:dyDescent="0.3">
      <c r="A816" t="s">
        <v>1433</v>
      </c>
      <c r="B816" t="s">
        <v>2620</v>
      </c>
    </row>
    <row r="817" spans="1:2" x14ac:dyDescent="0.3">
      <c r="A817" t="s">
        <v>1435</v>
      </c>
      <c r="B817" t="s">
        <v>2621</v>
      </c>
    </row>
    <row r="818" spans="1:2" x14ac:dyDescent="0.3">
      <c r="A818" t="s">
        <v>1436</v>
      </c>
      <c r="B818" t="s">
        <v>2622</v>
      </c>
    </row>
    <row r="820" spans="1:2" x14ac:dyDescent="0.3">
      <c r="A820" t="s">
        <v>1438</v>
      </c>
      <c r="B820" t="s">
        <v>1439</v>
      </c>
    </row>
    <row r="821" spans="1:2" x14ac:dyDescent="0.3">
      <c r="A821" t="s">
        <v>1139</v>
      </c>
      <c r="B821" t="s">
        <v>1140</v>
      </c>
    </row>
    <row r="823" spans="1:2" x14ac:dyDescent="0.3">
      <c r="A823" t="s">
        <v>1440</v>
      </c>
      <c r="B823" t="s">
        <v>1441</v>
      </c>
    </row>
    <row r="825" spans="1:2" x14ac:dyDescent="0.3">
      <c r="A825" t="s">
        <v>1442</v>
      </c>
      <c r="B825" t="s">
        <v>1443</v>
      </c>
    </row>
    <row r="827" spans="1:2" x14ac:dyDescent="0.3">
      <c r="A827" t="s">
        <v>1444</v>
      </c>
      <c r="B827" t="s">
        <v>1445</v>
      </c>
    </row>
    <row r="828" spans="1:2" x14ac:dyDescent="0.3">
      <c r="A828" t="s">
        <v>1446</v>
      </c>
      <c r="B828" t="s">
        <v>1142</v>
      </c>
    </row>
    <row r="829" spans="1:2" x14ac:dyDescent="0.3">
      <c r="A829" t="s">
        <v>1447</v>
      </c>
      <c r="B829" t="s">
        <v>241</v>
      </c>
    </row>
    <row r="830" spans="1:2" x14ac:dyDescent="0.3">
      <c r="A830" t="s">
        <v>1448</v>
      </c>
      <c r="B830" t="s">
        <v>1021</v>
      </c>
    </row>
    <row r="831" spans="1:2" x14ac:dyDescent="0.3">
      <c r="A831" t="s">
        <v>1449</v>
      </c>
      <c r="B831" t="s">
        <v>873</v>
      </c>
    </row>
    <row r="832" spans="1:2" x14ac:dyDescent="0.3">
      <c r="A832" t="s">
        <v>1450</v>
      </c>
      <c r="B832" t="s">
        <v>1017</v>
      </c>
    </row>
    <row r="833" spans="1:2" x14ac:dyDescent="0.3">
      <c r="A833" t="s">
        <v>1451</v>
      </c>
      <c r="B833" t="s">
        <v>428</v>
      </c>
    </row>
    <row r="834" spans="1:2" x14ac:dyDescent="0.3">
      <c r="A834" t="s">
        <v>1452</v>
      </c>
      <c r="B834" t="s">
        <v>1453</v>
      </c>
    </row>
    <row r="835" spans="1:2" x14ac:dyDescent="0.3">
      <c r="A835" t="s">
        <v>1454</v>
      </c>
      <c r="B835" t="s">
        <v>1455</v>
      </c>
    </row>
    <row r="836" spans="1:2" x14ac:dyDescent="0.3">
      <c r="A836" t="s">
        <v>1456</v>
      </c>
      <c r="B836" t="s">
        <v>386</v>
      </c>
    </row>
    <row r="837" spans="1:2" x14ac:dyDescent="0.3">
      <c r="A837" t="s">
        <v>1457</v>
      </c>
      <c r="B837" t="s">
        <v>1458</v>
      </c>
    </row>
    <row r="839" spans="1:2" x14ac:dyDescent="0.3">
      <c r="A839" t="s">
        <v>1459</v>
      </c>
      <c r="B839" t="s">
        <v>1460</v>
      </c>
    </row>
    <row r="840" spans="1:2" x14ac:dyDescent="0.3">
      <c r="A840" t="s">
        <v>1461</v>
      </c>
      <c r="B840" t="s">
        <v>1462</v>
      </c>
    </row>
    <row r="841" spans="1:2" x14ac:dyDescent="0.3">
      <c r="A841" t="s">
        <v>1463</v>
      </c>
      <c r="B841" t="s">
        <v>1464</v>
      </c>
    </row>
    <row r="843" spans="1:2" x14ac:dyDescent="0.3">
      <c r="A843" t="s">
        <v>1465</v>
      </c>
      <c r="B843" t="s">
        <v>2623</v>
      </c>
    </row>
    <row r="845" spans="1:2" x14ac:dyDescent="0.3">
      <c r="A845" t="s">
        <v>1467</v>
      </c>
      <c r="B845" t="s">
        <v>2624</v>
      </c>
    </row>
    <row r="846" spans="1:2" x14ac:dyDescent="0.3">
      <c r="A846" t="s">
        <v>1469</v>
      </c>
      <c r="B846" t="s">
        <v>2625</v>
      </c>
    </row>
    <row r="847" spans="1:2" x14ac:dyDescent="0.3">
      <c r="A847" t="s">
        <v>1470</v>
      </c>
      <c r="B847" t="s">
        <v>2626</v>
      </c>
    </row>
    <row r="848" spans="1:2" x14ac:dyDescent="0.3">
      <c r="A848" t="s">
        <v>1472</v>
      </c>
      <c r="B848" t="s">
        <v>2627</v>
      </c>
    </row>
    <row r="849" spans="1:2" x14ac:dyDescent="0.3">
      <c r="A849" t="s">
        <v>1474</v>
      </c>
      <c r="B849" t="s">
        <v>2628</v>
      </c>
    </row>
    <row r="850" spans="1:2" x14ac:dyDescent="0.3">
      <c r="A850" t="s">
        <v>1476</v>
      </c>
      <c r="B850" t="s">
        <v>2629</v>
      </c>
    </row>
    <row r="851" spans="1:2" x14ac:dyDescent="0.3">
      <c r="A851" t="s">
        <v>1478</v>
      </c>
      <c r="B851" t="s">
        <v>2630</v>
      </c>
    </row>
    <row r="852" spans="1:2" x14ac:dyDescent="0.3">
      <c r="A852" t="s">
        <v>1480</v>
      </c>
      <c r="B852" t="s">
        <v>2631</v>
      </c>
    </row>
    <row r="853" spans="1:2" x14ac:dyDescent="0.3">
      <c r="A853" t="s">
        <v>1482</v>
      </c>
      <c r="B853" t="s">
        <v>2632</v>
      </c>
    </row>
    <row r="854" spans="1:2" x14ac:dyDescent="0.3">
      <c r="A854" t="s">
        <v>1484</v>
      </c>
      <c r="B854" t="s">
        <v>1485</v>
      </c>
    </row>
    <row r="855" spans="1:2" x14ac:dyDescent="0.3">
      <c r="A855" t="s">
        <v>1486</v>
      </c>
      <c r="B855" t="s">
        <v>2633</v>
      </c>
    </row>
    <row r="856" spans="1:2" x14ac:dyDescent="0.3">
      <c r="A856" t="s">
        <v>1488</v>
      </c>
      <c r="B856" t="s">
        <v>2634</v>
      </c>
    </row>
    <row r="857" spans="1:2" x14ac:dyDescent="0.3">
      <c r="A857" t="s">
        <v>1489</v>
      </c>
      <c r="B857" t="s">
        <v>2635</v>
      </c>
    </row>
    <row r="858" spans="1:2" x14ac:dyDescent="0.3">
      <c r="A858" t="s">
        <v>1491</v>
      </c>
      <c r="B858" t="s">
        <v>2636</v>
      </c>
    </row>
    <row r="859" spans="1:2" x14ac:dyDescent="0.3">
      <c r="A859" t="s">
        <v>1493</v>
      </c>
      <c r="B859" t="s">
        <v>2637</v>
      </c>
    </row>
    <row r="860" spans="1:2" x14ac:dyDescent="0.3">
      <c r="A860" t="s">
        <v>1495</v>
      </c>
      <c r="B860" t="s">
        <v>2638</v>
      </c>
    </row>
    <row r="861" spans="1:2" x14ac:dyDescent="0.3">
      <c r="A861" t="s">
        <v>1497</v>
      </c>
      <c r="B861" t="s">
        <v>2639</v>
      </c>
    </row>
    <row r="862" spans="1:2" x14ac:dyDescent="0.3">
      <c r="A862" t="s">
        <v>1499</v>
      </c>
      <c r="B862" t="s">
        <v>2640</v>
      </c>
    </row>
    <row r="863" spans="1:2" x14ac:dyDescent="0.3">
      <c r="A863" t="s">
        <v>1501</v>
      </c>
      <c r="B863" t="s">
        <v>2641</v>
      </c>
    </row>
    <row r="864" spans="1:2" x14ac:dyDescent="0.3">
      <c r="A864" t="s">
        <v>1503</v>
      </c>
      <c r="B864" t="s">
        <v>2642</v>
      </c>
    </row>
    <row r="865" spans="1:2" x14ac:dyDescent="0.3">
      <c r="A865" t="s">
        <v>1505</v>
      </c>
      <c r="B865" t="s">
        <v>2643</v>
      </c>
    </row>
    <row r="866" spans="1:2" x14ac:dyDescent="0.3">
      <c r="A866" t="s">
        <v>1507</v>
      </c>
      <c r="B866" t="s">
        <v>2644</v>
      </c>
    </row>
    <row r="867" spans="1:2" x14ac:dyDescent="0.3">
      <c r="A867" t="s">
        <v>1509</v>
      </c>
      <c r="B867" t="s">
        <v>2645</v>
      </c>
    </row>
    <row r="868" spans="1:2" x14ac:dyDescent="0.3">
      <c r="A868" t="s">
        <v>1510</v>
      </c>
      <c r="B868" t="s">
        <v>2646</v>
      </c>
    </row>
    <row r="869" spans="1:2" x14ac:dyDescent="0.3">
      <c r="A869" t="s">
        <v>1511</v>
      </c>
      <c r="B869" t="s">
        <v>1512</v>
      </c>
    </row>
    <row r="870" spans="1:2" x14ac:dyDescent="0.3">
      <c r="A870" t="s">
        <v>1513</v>
      </c>
      <c r="B870" t="s">
        <v>1514</v>
      </c>
    </row>
    <row r="871" spans="1:2" x14ac:dyDescent="0.3">
      <c r="A871" t="s">
        <v>1515</v>
      </c>
      <c r="B871" t="s">
        <v>2647</v>
      </c>
    </row>
    <row r="872" spans="1:2" x14ac:dyDescent="0.3">
      <c r="A872" t="s">
        <v>1517</v>
      </c>
      <c r="B872" t="s">
        <v>2648</v>
      </c>
    </row>
    <row r="873" spans="1:2" x14ac:dyDescent="0.3">
      <c r="A873" t="s">
        <v>1519</v>
      </c>
      <c r="B873" t="s">
        <v>2649</v>
      </c>
    </row>
    <row r="874" spans="1:2" x14ac:dyDescent="0.3">
      <c r="A874" t="s">
        <v>1521</v>
      </c>
      <c r="B874" t="s">
        <v>2650</v>
      </c>
    </row>
    <row r="875" spans="1:2" x14ac:dyDescent="0.3">
      <c r="A875" t="s">
        <v>1523</v>
      </c>
      <c r="B875" t="s">
        <v>1524</v>
      </c>
    </row>
    <row r="877" spans="1:2" x14ac:dyDescent="0.3">
      <c r="A877" t="s">
        <v>1525</v>
      </c>
      <c r="B877" t="s">
        <v>2651</v>
      </c>
    </row>
    <row r="878" spans="1:2" x14ac:dyDescent="0.3">
      <c r="A878" t="s">
        <v>1527</v>
      </c>
      <c r="B878" t="s">
        <v>2652</v>
      </c>
    </row>
    <row r="879" spans="1:2" x14ac:dyDescent="0.3">
      <c r="A879" t="s">
        <v>1529</v>
      </c>
      <c r="B879" t="s">
        <v>2653</v>
      </c>
    </row>
    <row r="880" spans="1:2" x14ac:dyDescent="0.3">
      <c r="A880" t="s">
        <v>1531</v>
      </c>
      <c r="B880" t="s">
        <v>2654</v>
      </c>
    </row>
    <row r="882" spans="1:2" x14ac:dyDescent="0.3">
      <c r="A882" t="s">
        <v>1532</v>
      </c>
      <c r="B882" t="s">
        <v>2655</v>
      </c>
    </row>
    <row r="883" spans="1:2" x14ac:dyDescent="0.3">
      <c r="A883" t="s">
        <v>1535</v>
      </c>
      <c r="B883" t="s">
        <v>2656</v>
      </c>
    </row>
    <row r="884" spans="1:2" x14ac:dyDescent="0.3">
      <c r="A884" t="s">
        <v>1537</v>
      </c>
      <c r="B884" t="s">
        <v>2657</v>
      </c>
    </row>
    <row r="885" spans="1:2" x14ac:dyDescent="0.3">
      <c r="A885" t="s">
        <v>1539</v>
      </c>
      <c r="B885" t="s">
        <v>2658</v>
      </c>
    </row>
    <row r="886" spans="1:2" x14ac:dyDescent="0.3">
      <c r="A886" t="s">
        <v>1541</v>
      </c>
      <c r="B886" t="s">
        <v>2659</v>
      </c>
    </row>
    <row r="887" spans="1:2" x14ac:dyDescent="0.3">
      <c r="A887" t="s">
        <v>1543</v>
      </c>
      <c r="B887" t="s">
        <v>2660</v>
      </c>
    </row>
    <row r="888" spans="1:2" x14ac:dyDescent="0.3">
      <c r="A888" t="s">
        <v>1545</v>
      </c>
      <c r="B888" t="s">
        <v>2661</v>
      </c>
    </row>
    <row r="889" spans="1:2" x14ac:dyDescent="0.3">
      <c r="A889" t="s">
        <v>1547</v>
      </c>
      <c r="B889" t="s">
        <v>2662</v>
      </c>
    </row>
    <row r="890" spans="1:2" x14ac:dyDescent="0.3">
      <c r="A890" t="s">
        <v>1549</v>
      </c>
      <c r="B890" t="s">
        <v>2663</v>
      </c>
    </row>
    <row r="891" spans="1:2" x14ac:dyDescent="0.3">
      <c r="A891" t="s">
        <v>1551</v>
      </c>
      <c r="B891" t="s">
        <v>2664</v>
      </c>
    </row>
    <row r="892" spans="1:2" x14ac:dyDescent="0.3">
      <c r="A892" t="s">
        <v>1553</v>
      </c>
      <c r="B892" t="s">
        <v>2665</v>
      </c>
    </row>
    <row r="893" spans="1:2" x14ac:dyDescent="0.3">
      <c r="A893" t="s">
        <v>1555</v>
      </c>
      <c r="B893" t="s">
        <v>1556</v>
      </c>
    </row>
    <row r="894" spans="1:2" x14ac:dyDescent="0.3">
      <c r="A894" t="s">
        <v>1557</v>
      </c>
      <c r="B894" t="s">
        <v>1558</v>
      </c>
    </row>
    <row r="895" spans="1:2" x14ac:dyDescent="0.3">
      <c r="A895" t="s">
        <v>1559</v>
      </c>
      <c r="B895" t="s">
        <v>1560</v>
      </c>
    </row>
    <row r="896" spans="1:2" x14ac:dyDescent="0.3">
      <c r="A896" t="s">
        <v>1561</v>
      </c>
      <c r="B896" t="s">
        <v>1562</v>
      </c>
    </row>
    <row r="897" spans="1:2" x14ac:dyDescent="0.3">
      <c r="A897" t="s">
        <v>1563</v>
      </c>
      <c r="B897" t="s">
        <v>1564</v>
      </c>
    </row>
    <row r="898" spans="1:2" x14ac:dyDescent="0.3">
      <c r="A898" t="s">
        <v>1569</v>
      </c>
      <c r="B898" t="s">
        <v>1570</v>
      </c>
    </row>
    <row r="899" spans="1:2" x14ac:dyDescent="0.3">
      <c r="A899" t="s">
        <v>1571</v>
      </c>
      <c r="B899" t="s">
        <v>1572</v>
      </c>
    </row>
    <row r="900" spans="1:2" x14ac:dyDescent="0.3">
      <c r="A900" t="s">
        <v>1573</v>
      </c>
      <c r="B900" t="s">
        <v>2666</v>
      </c>
    </row>
    <row r="901" spans="1:2" x14ac:dyDescent="0.3">
      <c r="A901" t="s">
        <v>1575</v>
      </c>
      <c r="B901" t="s">
        <v>1576</v>
      </c>
    </row>
    <row r="902" spans="1:2" x14ac:dyDescent="0.3">
      <c r="A902" t="s">
        <v>1577</v>
      </c>
      <c r="B902" t="s">
        <v>1578</v>
      </c>
    </row>
    <row r="903" spans="1:2" x14ac:dyDescent="0.3">
      <c r="A903" t="s">
        <v>1579</v>
      </c>
      <c r="B903" t="s">
        <v>1580</v>
      </c>
    </row>
    <row r="904" spans="1:2" x14ac:dyDescent="0.3">
      <c r="A904" t="s">
        <v>1581</v>
      </c>
      <c r="B904" t="s">
        <v>1582</v>
      </c>
    </row>
    <row r="905" spans="1:2" x14ac:dyDescent="0.3">
      <c r="A905" t="s">
        <v>1583</v>
      </c>
      <c r="B905" t="s">
        <v>1584</v>
      </c>
    </row>
    <row r="906" spans="1:2" x14ac:dyDescent="0.3">
      <c r="A906" t="s">
        <v>1585</v>
      </c>
      <c r="B906" t="s">
        <v>1586</v>
      </c>
    </row>
    <row r="907" spans="1:2" x14ac:dyDescent="0.3">
      <c r="A907" t="s">
        <v>1587</v>
      </c>
      <c r="B907" t="s">
        <v>1588</v>
      </c>
    </row>
    <row r="908" spans="1:2" x14ac:dyDescent="0.3">
      <c r="A908" t="s">
        <v>1589</v>
      </c>
      <c r="B908" t="s">
        <v>1590</v>
      </c>
    </row>
    <row r="909" spans="1:2" x14ac:dyDescent="0.3">
      <c r="A909" t="s">
        <v>1591</v>
      </c>
      <c r="B909" t="s">
        <v>1592</v>
      </c>
    </row>
    <row r="911" spans="1:2" x14ac:dyDescent="0.3">
      <c r="A911" t="s">
        <v>1605</v>
      </c>
      <c r="B911" t="s">
        <v>2667</v>
      </c>
    </row>
    <row r="912" spans="1:2" x14ac:dyDescent="0.3">
      <c r="A912" t="s">
        <v>1607</v>
      </c>
      <c r="B912" t="s">
        <v>2668</v>
      </c>
    </row>
    <row r="913" spans="1:2" x14ac:dyDescent="0.3">
      <c r="A913" t="s">
        <v>1609</v>
      </c>
      <c r="B913" t="s">
        <v>1610</v>
      </c>
    </row>
    <row r="914" spans="1:2" x14ac:dyDescent="0.3">
      <c r="A914" t="s">
        <v>1611</v>
      </c>
      <c r="B914" t="s">
        <v>1612</v>
      </c>
    </row>
    <row r="916" spans="1:2" x14ac:dyDescent="0.3">
      <c r="A916" t="s">
        <v>1613</v>
      </c>
      <c r="B916" t="s">
        <v>2669</v>
      </c>
    </row>
    <row r="917" spans="1:2" x14ac:dyDescent="0.3">
      <c r="A917" t="s">
        <v>1111</v>
      </c>
      <c r="B917" t="s">
        <v>2670</v>
      </c>
    </row>
    <row r="918" spans="1:2" x14ac:dyDescent="0.3">
      <c r="A918" t="s">
        <v>1113</v>
      </c>
      <c r="B918" t="s">
        <v>2671</v>
      </c>
    </row>
    <row r="919" spans="1:2" x14ac:dyDescent="0.3">
      <c r="A919" t="s">
        <v>1619</v>
      </c>
      <c r="B919" t="s">
        <v>2672</v>
      </c>
    </row>
    <row r="921" spans="1:2" x14ac:dyDescent="0.3">
      <c r="A921" t="s">
        <v>1623</v>
      </c>
      <c r="B921" t="s">
        <v>2673</v>
      </c>
    </row>
    <row r="923" spans="1:2" x14ac:dyDescent="0.3">
      <c r="A923" t="s">
        <v>1624</v>
      </c>
      <c r="B923" t="s">
        <v>2674</v>
      </c>
    </row>
    <row r="924" spans="1:2" x14ac:dyDescent="0.3">
      <c r="A924" t="s">
        <v>1625</v>
      </c>
      <c r="B924" t="s">
        <v>2675</v>
      </c>
    </row>
    <row r="926" spans="1:2" x14ac:dyDescent="0.3">
      <c r="A926" t="s">
        <v>1627</v>
      </c>
      <c r="B926" t="s">
        <v>2565</v>
      </c>
    </row>
    <row r="927" spans="1:2" x14ac:dyDescent="0.3">
      <c r="A927" t="s">
        <v>1628</v>
      </c>
      <c r="B927" t="s">
        <v>525</v>
      </c>
    </row>
    <row r="929" spans="1:2" x14ac:dyDescent="0.3">
      <c r="A929" t="s">
        <v>1630</v>
      </c>
      <c r="B929" t="s">
        <v>1631</v>
      </c>
    </row>
    <row r="930" spans="1:2" x14ac:dyDescent="0.3">
      <c r="A930" t="s">
        <v>1632</v>
      </c>
      <c r="B930" t="s">
        <v>1633</v>
      </c>
    </row>
    <row r="931" spans="1:2" x14ac:dyDescent="0.3">
      <c r="A931" t="s">
        <v>1634</v>
      </c>
      <c r="B931" t="s">
        <v>1635</v>
      </c>
    </row>
    <row r="932" spans="1:2" x14ac:dyDescent="0.3">
      <c r="A932" t="s">
        <v>1636</v>
      </c>
      <c r="B932" t="s">
        <v>1637</v>
      </c>
    </row>
    <row r="933" spans="1:2" x14ac:dyDescent="0.3">
      <c r="A933" t="s">
        <v>1638</v>
      </c>
      <c r="B933" t="s">
        <v>1639</v>
      </c>
    </row>
    <row r="935" spans="1:2" x14ac:dyDescent="0.3">
      <c r="A935" t="s">
        <v>1640</v>
      </c>
      <c r="B935" t="s">
        <v>2676</v>
      </c>
    </row>
    <row r="936" spans="1:2" x14ac:dyDescent="0.3">
      <c r="A936" t="s">
        <v>1642</v>
      </c>
      <c r="B936" t="s">
        <v>2677</v>
      </c>
    </row>
    <row r="937" spans="1:2" x14ac:dyDescent="0.3">
      <c r="A937" t="s">
        <v>1648</v>
      </c>
      <c r="B937" t="s">
        <v>2678</v>
      </c>
    </row>
    <row r="938" spans="1:2" x14ac:dyDescent="0.3">
      <c r="A938" t="s">
        <v>1650</v>
      </c>
      <c r="B938" t="s">
        <v>2679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en</vt:lpstr>
      <vt:lpstr>ru</vt:lpstr>
      <vt:lpstr>tj</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Owais Ahmed</dc:creator>
  <cp:lastModifiedBy>Owais Ahmed</cp:lastModifiedBy>
  <dcterms:created xsi:type="dcterms:W3CDTF">2022-08-25T12:27:44Z</dcterms:created>
  <dcterms:modified xsi:type="dcterms:W3CDTF">2022-08-25T20:51:58Z</dcterms:modified>
</cp:coreProperties>
</file>